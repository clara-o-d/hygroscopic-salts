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/Downloads/RE_ ML for AWH Discussion/data/"/>
    </mc:Choice>
  </mc:AlternateContent>
  <xr:revisionPtr revIDLastSave="0" documentId="13_ncr:1_{4D31F888-D78A-A042-9B73-B90811E649CE}" xr6:coauthVersionLast="47" xr6:coauthVersionMax="47" xr10:uidLastSave="{00000000-0000-0000-0000-000000000000}"/>
  <bookViews>
    <workbookView xWindow="13600" yWindow="820" windowWidth="15540" windowHeight="17440" xr2:uid="{BAC7A132-E3F9-9343-A677-9A8C9B62C5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76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57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41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22" i="1"/>
  <c r="V8" i="1"/>
  <c r="U8" i="1"/>
  <c r="R2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P8" i="1"/>
  <c r="O8" i="1"/>
  <c r="L2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J8" i="1"/>
  <c r="I8" i="1"/>
  <c r="F2" i="1" l="1"/>
</calcChain>
</file>

<file path=xl/sharedStrings.xml><?xml version="1.0" encoding="utf-8"?>
<sst xmlns="http://schemas.openxmlformats.org/spreadsheetml/2006/main" count="23" uniqueCount="15">
  <si>
    <t>Source Name</t>
  </si>
  <si>
    <t>Paper Number</t>
  </si>
  <si>
    <t>Year</t>
  </si>
  <si>
    <t>Liquid-Vapor Equilibrium of Aqueous Lithium Chloride, from 25° to 100°C and from 1.0 to 18.5 Molal</t>
  </si>
  <si>
    <t>Paper 1: LiCl</t>
  </si>
  <si>
    <t>m(LiCl)</t>
  </si>
  <si>
    <t>osmotic coefficient</t>
  </si>
  <si>
    <t>aw</t>
  </si>
  <si>
    <t>t(C)</t>
  </si>
  <si>
    <t>mass fraction</t>
  </si>
  <si>
    <t>Thermodynamics of calcium chloride in highly concentrated aqueous solution and in hydrated crystals</t>
  </si>
  <si>
    <t>m(CaCl2)</t>
  </si>
  <si>
    <t>Paper 2: CaCl2</t>
  </si>
  <si>
    <t>Paper 3: MgCl2</t>
  </si>
  <si>
    <t>m(MgCl2)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</si>
</sst>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4B86-D9DC-8942-A60F-FA2CB2DFB9A2}">
  <dimension ref="A1:V94"/>
  <sheetViews>
    <sheetView tabSelected="1" workbookViewId="0">
      <selection activeCell="V12" sqref="V12"/>
    </sheetView>
  </sheetViews>
  <sheetFormatPr baseColWidth="10" defaultRowHeight="16" x14ac:dyDescent="0.2"/>
  <sheetData>
    <row r="1" spans="1:22" ht="49" customHeight="1" x14ac:dyDescent="0.2">
      <c r="A1" t="s">
        <v>1</v>
      </c>
      <c r="B1" t="s">
        <v>0</v>
      </c>
      <c r="C1" t="s">
        <v>2</v>
      </c>
      <c r="F1" s="1">
        <v>42.393999999999998</v>
      </c>
      <c r="L1" s="1">
        <v>110.98</v>
      </c>
      <c r="R1" s="1">
        <v>95.210999999999999</v>
      </c>
    </row>
    <row r="2" spans="1:22" ht="49" customHeight="1" x14ac:dyDescent="0.2">
      <c r="A2">
        <v>1</v>
      </c>
      <c r="B2" t="s">
        <v>3</v>
      </c>
      <c r="C2">
        <v>1973</v>
      </c>
      <c r="F2">
        <f>F1/1000</f>
        <v>4.2394000000000001E-2</v>
      </c>
      <c r="L2">
        <f>L1/1000</f>
        <v>0.11098000000000001</v>
      </c>
      <c r="R2">
        <f>R1/1000</f>
        <v>9.5211000000000004E-2</v>
      </c>
    </row>
    <row r="3" spans="1:22" ht="49" customHeight="1" x14ac:dyDescent="0.2">
      <c r="A3">
        <v>2</v>
      </c>
      <c r="B3" t="s">
        <v>10</v>
      </c>
      <c r="C3">
        <v>1993</v>
      </c>
    </row>
    <row r="4" spans="1:22" ht="49" customHeight="1" x14ac:dyDescent="0.2">
      <c r="F4" s="1" t="s">
        <v>4</v>
      </c>
      <c r="L4" s="1" t="s">
        <v>12</v>
      </c>
      <c r="R4" s="1" t="s">
        <v>13</v>
      </c>
    </row>
    <row r="5" spans="1:22" ht="49" customHeight="1" x14ac:dyDescent="0.2"/>
    <row r="6" spans="1:22" ht="49" customHeight="1" x14ac:dyDescent="0.2"/>
    <row r="7" spans="1:22" ht="49" customHeight="1" x14ac:dyDescent="0.2">
      <c r="F7" t="s">
        <v>5</v>
      </c>
      <c r="G7" t="s">
        <v>8</v>
      </c>
      <c r="H7" t="s">
        <v>6</v>
      </c>
      <c r="I7" t="s">
        <v>7</v>
      </c>
      <c r="J7" t="s">
        <v>9</v>
      </c>
      <c r="L7" t="s">
        <v>11</v>
      </c>
      <c r="M7" t="s">
        <v>8</v>
      </c>
      <c r="N7" t="s">
        <v>6</v>
      </c>
      <c r="O7" t="s">
        <v>7</v>
      </c>
      <c r="P7" t="s">
        <v>9</v>
      </c>
      <c r="R7" t="s">
        <v>14</v>
      </c>
      <c r="S7" t="s">
        <v>8</v>
      </c>
      <c r="T7" t="s">
        <v>6</v>
      </c>
      <c r="U7" t="s">
        <v>7</v>
      </c>
      <c r="V7" t="s">
        <v>9</v>
      </c>
    </row>
    <row r="8" spans="1:22" ht="49" customHeight="1" x14ac:dyDescent="0.2">
      <c r="F8" s="2">
        <v>1.0207999999999999</v>
      </c>
      <c r="G8" s="2">
        <v>25</v>
      </c>
      <c r="H8" s="2">
        <v>1.0198</v>
      </c>
      <c r="I8">
        <f>EXP(-2*F8*H8/55.51)</f>
        <v>0.9631874999587704</v>
      </c>
      <c r="J8">
        <f>$F$2*F8/(1+$F$2*F8)</f>
        <v>4.1480685547491174E-2</v>
      </c>
      <c r="L8">
        <v>-2.1250538021204599E-3</v>
      </c>
      <c r="M8" s="2">
        <v>25</v>
      </c>
      <c r="N8">
        <v>0.86019661945942105</v>
      </c>
      <c r="O8">
        <f>EXP(-2*L8*N8/55.51)</f>
        <v>1.0000658628821324</v>
      </c>
      <c r="P8">
        <f>$L$2*L8/(1+$L$2*L8)</f>
        <v>-2.3589410386409227E-4</v>
      </c>
      <c r="R8" s="4">
        <v>0.50593631170141795</v>
      </c>
      <c r="S8" s="2">
        <v>25</v>
      </c>
      <c r="T8" s="4">
        <v>0.94991872262971</v>
      </c>
      <c r="U8">
        <f>EXP(-2*R8*T8/55.51)</f>
        <v>0.98283331545028141</v>
      </c>
      <c r="V8">
        <f>$R$2*R8/(1+$R$2*R8)</f>
        <v>4.5956924834400309E-2</v>
      </c>
    </row>
    <row r="9" spans="1:22" ht="49" customHeight="1" x14ac:dyDescent="0.2">
      <c r="F9" s="2">
        <v>1.0208999999999999</v>
      </c>
      <c r="G9" s="2">
        <v>37.5</v>
      </c>
      <c r="H9" s="2">
        <v>1.0125</v>
      </c>
      <c r="I9">
        <f t="shared" ref="I9:I61" si="0">EXP(-2*F9*H9/55.51)</f>
        <v>0.96344262278404802</v>
      </c>
      <c r="J9">
        <f t="shared" ref="J9:J61" si="1">$F$2*F9/(1+$F$2*F9)</f>
        <v>4.1484580519739196E-2</v>
      </c>
      <c r="L9">
        <v>0.192535696537326</v>
      </c>
      <c r="M9" s="2">
        <v>25</v>
      </c>
      <c r="N9">
        <v>0.86519943692312196</v>
      </c>
      <c r="O9">
        <f t="shared" ref="O9:O72" si="2">EXP(-2*L9*N9/55.51)</f>
        <v>0.99401610974096777</v>
      </c>
      <c r="P9">
        <f t="shared" ref="P9:P72" si="3">$L$2*L9/(1+$L$2*L9)</f>
        <v>2.0920588590237037E-2</v>
      </c>
      <c r="R9" s="4">
        <v>0.63501054263007095</v>
      </c>
      <c r="S9" s="2">
        <v>25</v>
      </c>
      <c r="T9" s="4">
        <v>0.98394384472598195</v>
      </c>
      <c r="U9">
        <f t="shared" ref="U9:U72" si="4">EXP(-2*R9*T9/55.51)</f>
        <v>0.97773971016225947</v>
      </c>
      <c r="V9">
        <f t="shared" ref="V9:V72" si="5">$R$2*R9/(1+$R$2*R9)</f>
        <v>5.7012984378816169E-2</v>
      </c>
    </row>
    <row r="10" spans="1:22" ht="49" customHeight="1" x14ac:dyDescent="0.2">
      <c r="F10" s="2">
        <v>1.0212000000000001</v>
      </c>
      <c r="G10" s="2">
        <v>50</v>
      </c>
      <c r="H10" s="2">
        <v>1.0108999999999999</v>
      </c>
      <c r="I10">
        <f t="shared" si="0"/>
        <v>0.96348879728173376</v>
      </c>
      <c r="J10">
        <f t="shared" si="1"/>
        <v>4.1496265246557557E-2</v>
      </c>
      <c r="L10">
        <v>0.42244905173112801</v>
      </c>
      <c r="M10" s="2">
        <v>25</v>
      </c>
      <c r="N10">
        <v>0.89488573157368301</v>
      </c>
      <c r="O10">
        <f t="shared" si="2"/>
        <v>0.98647160290071711</v>
      </c>
      <c r="P10">
        <f t="shared" si="3"/>
        <v>4.4783780076132297E-2</v>
      </c>
      <c r="R10" s="4">
        <v>0.771437582223504</v>
      </c>
      <c r="S10" s="2">
        <v>25</v>
      </c>
      <c r="T10" s="4">
        <v>1.02752221160951</v>
      </c>
      <c r="U10">
        <f t="shared" si="4"/>
        <v>0.97184445619135607</v>
      </c>
      <c r="V10">
        <f t="shared" si="5"/>
        <v>6.8423669990747629E-2</v>
      </c>
    </row>
    <row r="11" spans="1:22" ht="49" customHeight="1" x14ac:dyDescent="0.2">
      <c r="F11" s="2">
        <v>1.0215000000000001</v>
      </c>
      <c r="G11" s="2">
        <v>62.5</v>
      </c>
      <c r="H11" s="2">
        <v>0.99209999999999998</v>
      </c>
      <c r="I11">
        <f t="shared" si="0"/>
        <v>0.96414514880168556</v>
      </c>
      <c r="J11">
        <f t="shared" si="1"/>
        <v>4.1507949688495409E-2</v>
      </c>
      <c r="L11">
        <v>0.705197648717377</v>
      </c>
      <c r="M11" s="2">
        <v>25</v>
      </c>
      <c r="N11">
        <v>0.96899854240438899</v>
      </c>
      <c r="O11">
        <f t="shared" si="2"/>
        <v>0.97568034030758066</v>
      </c>
      <c r="P11">
        <f t="shared" si="3"/>
        <v>7.2582335688763253E-2</v>
      </c>
      <c r="R11" s="4">
        <v>0.92227828939069001</v>
      </c>
      <c r="S11" s="2">
        <v>25</v>
      </c>
      <c r="T11" s="4">
        <v>1.0779159833480501</v>
      </c>
      <c r="U11">
        <f t="shared" si="4"/>
        <v>0.96481552918292557</v>
      </c>
      <c r="V11">
        <f t="shared" si="5"/>
        <v>8.0722694591861835E-2</v>
      </c>
    </row>
    <row r="12" spans="1:22" ht="49" customHeight="1" x14ac:dyDescent="0.2">
      <c r="F12" s="2">
        <v>1.0218</v>
      </c>
      <c r="G12" s="2">
        <v>75</v>
      </c>
      <c r="H12" s="2">
        <v>0.98750000000000004</v>
      </c>
      <c r="I12">
        <f t="shared" si="0"/>
        <v>0.9642980989124178</v>
      </c>
      <c r="J12">
        <f t="shared" si="1"/>
        <v>4.1519633845563168E-2</v>
      </c>
      <c r="L12">
        <v>1.0939660532011899</v>
      </c>
      <c r="M12" s="2">
        <v>25</v>
      </c>
      <c r="N12">
        <v>1.0727539823965699</v>
      </c>
      <c r="O12">
        <f t="shared" si="2"/>
        <v>0.95859874288625213</v>
      </c>
      <c r="P12">
        <f t="shared" si="3"/>
        <v>0.10826417718798367</v>
      </c>
      <c r="R12" s="4">
        <v>1.0804718052226601</v>
      </c>
      <c r="S12" s="2">
        <v>25</v>
      </c>
      <c r="T12" s="4">
        <v>1.1378629998738501</v>
      </c>
      <c r="U12">
        <f t="shared" si="4"/>
        <v>0.95667096818142094</v>
      </c>
      <c r="V12">
        <f t="shared" si="5"/>
        <v>9.3277122211544647E-2</v>
      </c>
    </row>
    <row r="13" spans="1:22" ht="49" customHeight="1" x14ac:dyDescent="0.2">
      <c r="F13" s="2">
        <v>1.0226999999999999</v>
      </c>
      <c r="G13" s="2">
        <v>87.5</v>
      </c>
      <c r="H13" s="2">
        <v>0.98640000000000005</v>
      </c>
      <c r="I13">
        <f t="shared" si="0"/>
        <v>0.96430630599100764</v>
      </c>
      <c r="J13">
        <f t="shared" si="1"/>
        <v>4.1554684607650147E-2</v>
      </c>
      <c r="L13">
        <v>1.5179288418872601</v>
      </c>
      <c r="M13" s="2">
        <v>25</v>
      </c>
      <c r="N13">
        <v>1.21106130010874</v>
      </c>
      <c r="O13">
        <f t="shared" si="2"/>
        <v>0.93591250273555671</v>
      </c>
      <c r="P13">
        <f t="shared" si="3"/>
        <v>0.14417248339124744</v>
      </c>
      <c r="R13" s="4">
        <v>1.2099028636306299</v>
      </c>
      <c r="S13" s="2">
        <v>25</v>
      </c>
      <c r="T13" s="4">
        <v>1.1869105588494999</v>
      </c>
      <c r="U13">
        <f t="shared" si="4"/>
        <v>0.94957562918911875</v>
      </c>
      <c r="V13">
        <f t="shared" si="5"/>
        <v>0.10329668972208823</v>
      </c>
    </row>
    <row r="14" spans="1:22" ht="49" customHeight="1" x14ac:dyDescent="0.2">
      <c r="F14" s="2">
        <v>1.0238</v>
      </c>
      <c r="G14" s="2">
        <v>100</v>
      </c>
      <c r="H14" s="2">
        <v>0.97399999999999998</v>
      </c>
      <c r="I14">
        <f t="shared" si="0"/>
        <v>0.96470976537820474</v>
      </c>
      <c r="J14">
        <f t="shared" si="1"/>
        <v>4.1597520946770793E-2</v>
      </c>
      <c r="L14">
        <v>1.9771733457537299</v>
      </c>
      <c r="M14" s="2">
        <v>25</v>
      </c>
      <c r="N14">
        <v>1.3691178947412199</v>
      </c>
      <c r="O14">
        <f t="shared" si="2"/>
        <v>0.90707387854353005</v>
      </c>
      <c r="P14">
        <f t="shared" si="3"/>
        <v>0.17994250764520253</v>
      </c>
      <c r="R14" s="4">
        <v>1.34649209753284</v>
      </c>
      <c r="S14" s="2">
        <v>25</v>
      </c>
      <c r="T14" s="4">
        <v>1.23731730613275</v>
      </c>
      <c r="U14">
        <f t="shared" si="4"/>
        <v>0.94173949343655172</v>
      </c>
      <c r="V14">
        <f t="shared" si="5"/>
        <v>0.11363300964038757</v>
      </c>
    </row>
    <row r="15" spans="1:22" ht="49" customHeight="1" x14ac:dyDescent="0.2">
      <c r="F15" s="2">
        <v>2.1970000000000001</v>
      </c>
      <c r="G15" s="2">
        <v>25</v>
      </c>
      <c r="H15" s="2">
        <v>1.1685000000000001</v>
      </c>
      <c r="I15">
        <f t="shared" si="0"/>
        <v>0.91165390799825763</v>
      </c>
      <c r="J15">
        <f t="shared" si="1"/>
        <v>8.5203771289899422E-2</v>
      </c>
      <c r="L15">
        <v>2.4716413441485101</v>
      </c>
      <c r="M15" s="2">
        <v>25</v>
      </c>
      <c r="N15">
        <v>1.5567921668271201</v>
      </c>
      <c r="O15">
        <f t="shared" si="2"/>
        <v>0.87054517206302429</v>
      </c>
      <c r="P15">
        <f t="shared" si="3"/>
        <v>0.21525713179355416</v>
      </c>
      <c r="R15" s="4">
        <v>1.4544486294580901</v>
      </c>
      <c r="S15" s="2">
        <v>25</v>
      </c>
      <c r="T15" s="4">
        <v>1.2822873001856201</v>
      </c>
      <c r="U15">
        <f t="shared" si="4"/>
        <v>0.93501205490470529</v>
      </c>
      <c r="V15">
        <f t="shared" si="5"/>
        <v>0.12163548612898079</v>
      </c>
    </row>
    <row r="16" spans="1:22" ht="49" customHeight="1" x14ac:dyDescent="0.2">
      <c r="F16" s="2">
        <v>2.1970000000000001</v>
      </c>
      <c r="G16" s="2">
        <v>37.5</v>
      </c>
      <c r="H16" s="2">
        <v>1.1579999999999999</v>
      </c>
      <c r="I16">
        <f t="shared" si="0"/>
        <v>0.91241194187747798</v>
      </c>
      <c r="J16">
        <f t="shared" si="1"/>
        <v>8.5203771289899422E-2</v>
      </c>
      <c r="L16">
        <v>2.8248369301913501</v>
      </c>
      <c r="M16" s="2">
        <v>25</v>
      </c>
      <c r="N16">
        <v>1.69014033256468</v>
      </c>
      <c r="O16">
        <f t="shared" si="2"/>
        <v>0.84196367674935491</v>
      </c>
      <c r="P16">
        <f t="shared" si="3"/>
        <v>0.23867552831573657</v>
      </c>
      <c r="R16" s="4">
        <v>1.56247003910685</v>
      </c>
      <c r="S16" s="2">
        <v>25</v>
      </c>
      <c r="T16" s="4">
        <v>1.3299886463983901</v>
      </c>
      <c r="U16">
        <f t="shared" si="4"/>
        <v>0.92786241049740936</v>
      </c>
      <c r="V16">
        <f t="shared" si="5"/>
        <v>0.12949943724289337</v>
      </c>
    </row>
    <row r="17" spans="6:22" ht="49" customHeight="1" x14ac:dyDescent="0.2">
      <c r="F17" s="2">
        <v>2.198</v>
      </c>
      <c r="G17" s="2">
        <v>50</v>
      </c>
      <c r="H17" s="2">
        <v>1.1493</v>
      </c>
      <c r="I17">
        <f t="shared" si="0"/>
        <v>0.91300269746539153</v>
      </c>
      <c r="J17">
        <f t="shared" si="1"/>
        <v>8.5239247423694348E-2</v>
      </c>
      <c r="L17">
        <v>3.1603625483179401</v>
      </c>
      <c r="M17" s="2">
        <v>25</v>
      </c>
      <c r="N17">
        <v>1.8185480601086601</v>
      </c>
      <c r="O17">
        <f t="shared" si="2"/>
        <v>0.81296147139642194</v>
      </c>
      <c r="P17">
        <f t="shared" si="3"/>
        <v>0.25966344770677485</v>
      </c>
      <c r="R17" s="4">
        <v>1.7351745390978399</v>
      </c>
      <c r="S17" s="2">
        <v>25</v>
      </c>
      <c r="T17" s="4">
        <v>1.4008480960190299</v>
      </c>
      <c r="U17">
        <f t="shared" si="4"/>
        <v>0.91614778700308652</v>
      </c>
      <c r="V17">
        <f t="shared" si="5"/>
        <v>0.14178390909254332</v>
      </c>
    </row>
    <row r="18" spans="6:22" ht="49" customHeight="1" x14ac:dyDescent="0.2">
      <c r="F18" s="2">
        <v>2.198</v>
      </c>
      <c r="G18" s="2">
        <v>62.5</v>
      </c>
      <c r="H18" s="2">
        <v>1.1323000000000001</v>
      </c>
      <c r="I18">
        <f t="shared" si="0"/>
        <v>0.9142326824571726</v>
      </c>
      <c r="J18">
        <f t="shared" si="1"/>
        <v>8.5239247423694348E-2</v>
      </c>
      <c r="L18">
        <v>3.53114077129888</v>
      </c>
      <c r="M18" s="2">
        <v>25</v>
      </c>
      <c r="N18">
        <v>1.9716392648395</v>
      </c>
      <c r="O18">
        <f t="shared" si="2"/>
        <v>0.77814485786067378</v>
      </c>
      <c r="P18">
        <f t="shared" si="3"/>
        <v>0.28155035829856812</v>
      </c>
      <c r="R18" s="4">
        <v>1.8792138982501001</v>
      </c>
      <c r="S18" s="2">
        <v>25</v>
      </c>
      <c r="T18" s="4">
        <v>1.46490511632936</v>
      </c>
      <c r="U18">
        <f t="shared" si="4"/>
        <v>0.9055754750226781</v>
      </c>
      <c r="V18">
        <f t="shared" si="5"/>
        <v>0.15176734303787834</v>
      </c>
    </row>
    <row r="19" spans="6:22" ht="49" customHeight="1" x14ac:dyDescent="0.2">
      <c r="F19" s="2">
        <v>2.1989999999999998</v>
      </c>
      <c r="G19" s="2">
        <v>75</v>
      </c>
      <c r="H19" s="2">
        <v>1.1226</v>
      </c>
      <c r="I19">
        <f t="shared" si="0"/>
        <v>0.91489823433299478</v>
      </c>
      <c r="J19">
        <f t="shared" si="1"/>
        <v>8.5274720806040982E-2</v>
      </c>
      <c r="L19">
        <v>3.9372007094602299</v>
      </c>
      <c r="M19" s="2">
        <v>25</v>
      </c>
      <c r="N19">
        <v>2.14447974649064</v>
      </c>
      <c r="O19">
        <f t="shared" si="2"/>
        <v>0.73770862629506073</v>
      </c>
      <c r="P19">
        <f t="shared" si="3"/>
        <v>0.30408182061479622</v>
      </c>
      <c r="R19" s="4">
        <v>2.00883958982861</v>
      </c>
      <c r="S19" s="2">
        <v>25</v>
      </c>
      <c r="T19" s="4">
        <v>1.52214673178468</v>
      </c>
      <c r="U19">
        <f t="shared" si="4"/>
        <v>0.89568249326303184</v>
      </c>
      <c r="V19">
        <f t="shared" si="5"/>
        <v>0.16055524737151705</v>
      </c>
    </row>
    <row r="20" spans="6:22" ht="49" customHeight="1" x14ac:dyDescent="0.2">
      <c r="F20" s="2">
        <v>2.2010000000000001</v>
      </c>
      <c r="G20" s="2">
        <v>87.5</v>
      </c>
      <c r="H20" s="2">
        <v>1.1117999999999999</v>
      </c>
      <c r="I20">
        <f t="shared" si="0"/>
        <v>0.91560806579469534</v>
      </c>
      <c r="J20">
        <f t="shared" si="1"/>
        <v>8.5345659317669673E-2</v>
      </c>
      <c r="L20">
        <v>4.3433770889258003</v>
      </c>
      <c r="M20" s="2">
        <v>25</v>
      </c>
      <c r="N20">
        <v>2.29758342707551</v>
      </c>
      <c r="O20">
        <f t="shared" si="2"/>
        <v>0.69799133267997315</v>
      </c>
      <c r="P20">
        <f t="shared" si="3"/>
        <v>0.32524891081661161</v>
      </c>
      <c r="R20" s="4">
        <v>2.1672601776928802</v>
      </c>
      <c r="S20" s="2">
        <v>25</v>
      </c>
      <c r="T20" s="4">
        <v>1.59165348087008</v>
      </c>
      <c r="U20">
        <f t="shared" si="4"/>
        <v>0.88312820797781855</v>
      </c>
      <c r="V20">
        <f t="shared" si="5"/>
        <v>0.17105112150714172</v>
      </c>
    </row>
    <row r="21" spans="6:22" ht="49" customHeight="1" x14ac:dyDescent="0.2">
      <c r="F21" s="2">
        <v>2.202</v>
      </c>
      <c r="G21" s="2">
        <v>100</v>
      </c>
      <c r="H21" s="2">
        <v>1.0942000000000001</v>
      </c>
      <c r="I21">
        <f t="shared" si="0"/>
        <v>0.91685072421014702</v>
      </c>
      <c r="J21">
        <f t="shared" si="1"/>
        <v>8.5381124447591689E-2</v>
      </c>
      <c r="L21">
        <v>4.7318835004751199</v>
      </c>
      <c r="M21" s="2">
        <v>25</v>
      </c>
      <c r="N21">
        <v>2.4457466694668</v>
      </c>
      <c r="O21">
        <f t="shared" si="2"/>
        <v>0.65904102420946298</v>
      </c>
      <c r="P21">
        <f t="shared" si="3"/>
        <v>0.3443243933158408</v>
      </c>
      <c r="R21" s="4">
        <v>2.2969183081331401</v>
      </c>
      <c r="S21" s="2">
        <v>25</v>
      </c>
      <c r="T21" s="4">
        <v>1.65026077240534</v>
      </c>
      <c r="U21">
        <f t="shared" si="4"/>
        <v>0.87234481923310792</v>
      </c>
      <c r="V21">
        <f t="shared" si="5"/>
        <v>0.17944805492117666</v>
      </c>
    </row>
    <row r="22" spans="6:22" ht="49" customHeight="1" x14ac:dyDescent="0.2">
      <c r="F22" s="2">
        <v>3.94</v>
      </c>
      <c r="G22" s="2">
        <v>25</v>
      </c>
      <c r="H22" s="2">
        <v>1.4350000000000001</v>
      </c>
      <c r="I22">
        <f t="shared" si="0"/>
        <v>0.81570097767798466</v>
      </c>
      <c r="J22">
        <f t="shared" si="1"/>
        <v>0.14312573132076647</v>
      </c>
      <c r="L22">
        <v>5.0850499761919101</v>
      </c>
      <c r="M22" s="2">
        <v>25</v>
      </c>
      <c r="N22">
        <v>2.5840290354709299</v>
      </c>
      <c r="O22">
        <f t="shared" si="2"/>
        <v>0.62286516452956031</v>
      </c>
      <c r="P22">
        <f t="shared" si="3"/>
        <v>0.36075230610792419</v>
      </c>
      <c r="R22" s="4">
        <v>0.79028456090396304</v>
      </c>
      <c r="S22" s="2">
        <f>382-273.15</f>
        <v>108.85000000000002</v>
      </c>
      <c r="T22" s="4">
        <v>0.92098001405684005</v>
      </c>
      <c r="U22">
        <f t="shared" si="4"/>
        <v>0.97411724323143845</v>
      </c>
      <c r="V22">
        <f t="shared" si="5"/>
        <v>6.9978347696485532E-2</v>
      </c>
    </row>
    <row r="23" spans="6:22" ht="49" customHeight="1" x14ac:dyDescent="0.2">
      <c r="F23" s="2">
        <v>3.94</v>
      </c>
      <c r="G23" s="2">
        <v>37.5</v>
      </c>
      <c r="H23" s="2">
        <v>1.4131</v>
      </c>
      <c r="I23">
        <f t="shared" si="0"/>
        <v>0.81824081172028995</v>
      </c>
      <c r="J23">
        <f t="shared" si="1"/>
        <v>0.14312573132076647</v>
      </c>
      <c r="L23">
        <v>5.4913136866356496</v>
      </c>
      <c r="M23" s="2">
        <v>25</v>
      </c>
      <c r="N23">
        <v>2.7223301152560899</v>
      </c>
      <c r="O23">
        <f t="shared" si="2"/>
        <v>0.58355782495113706</v>
      </c>
      <c r="P23">
        <f t="shared" si="3"/>
        <v>0.37866046380206225</v>
      </c>
      <c r="R23" s="4">
        <v>0.81891726288093103</v>
      </c>
      <c r="S23" s="2">
        <f t="shared" ref="S23:S40" si="6">382-273.15</f>
        <v>108.85000000000002</v>
      </c>
      <c r="T23" s="4">
        <v>0.92641676728721001</v>
      </c>
      <c r="U23">
        <f t="shared" si="4"/>
        <v>0.97303606998443815</v>
      </c>
      <c r="V23">
        <f t="shared" si="5"/>
        <v>7.2330339869955573E-2</v>
      </c>
    </row>
    <row r="24" spans="6:22" ht="49" customHeight="1" x14ac:dyDescent="0.2">
      <c r="F24" s="2">
        <v>3.9420000000000002</v>
      </c>
      <c r="G24" s="2">
        <v>62.5</v>
      </c>
      <c r="H24" s="2">
        <v>1.3695999999999999</v>
      </c>
      <c r="I24">
        <f t="shared" si="0"/>
        <v>0.82322791606773138</v>
      </c>
      <c r="J24">
        <f t="shared" si="1"/>
        <v>0.14318798098920574</v>
      </c>
      <c r="L24">
        <v>5.9330337742161499</v>
      </c>
      <c r="M24" s="2">
        <v>25</v>
      </c>
      <c r="N24">
        <v>2.8507752703621501</v>
      </c>
      <c r="O24">
        <f t="shared" si="2"/>
        <v>0.54367993602928866</v>
      </c>
      <c r="P24">
        <f t="shared" si="3"/>
        <v>0.39702664974719759</v>
      </c>
      <c r="R24" s="4">
        <v>0.96940114256879695</v>
      </c>
      <c r="S24" s="2">
        <f t="shared" si="6"/>
        <v>108.85000000000002</v>
      </c>
      <c r="T24" s="4">
        <v>0.961788102146371</v>
      </c>
      <c r="U24">
        <f t="shared" si="4"/>
        <v>0.96696550990483532</v>
      </c>
      <c r="V24">
        <f t="shared" si="5"/>
        <v>8.4498627274789323E-2</v>
      </c>
    </row>
    <row r="25" spans="6:22" ht="49" customHeight="1" x14ac:dyDescent="0.2">
      <c r="F25" s="2">
        <v>3.944</v>
      </c>
      <c r="G25" s="2">
        <v>75</v>
      </c>
      <c r="H25" s="2">
        <v>1.3434999999999999</v>
      </c>
      <c r="I25">
        <f t="shared" si="0"/>
        <v>0.82620524815219942</v>
      </c>
      <c r="J25">
        <f t="shared" si="1"/>
        <v>0.14325022161375167</v>
      </c>
      <c r="L25">
        <v>6.39254027101713</v>
      </c>
      <c r="M25" s="2">
        <v>25</v>
      </c>
      <c r="N25">
        <v>2.9644240625955098</v>
      </c>
      <c r="O25">
        <f t="shared" si="2"/>
        <v>0.50521708225507223</v>
      </c>
      <c r="P25">
        <f t="shared" si="3"/>
        <v>0.41501451335966277</v>
      </c>
      <c r="R25" s="4">
        <v>1.0554938816702399</v>
      </c>
      <c r="S25" s="2">
        <f t="shared" si="6"/>
        <v>108.85000000000002</v>
      </c>
      <c r="T25" s="4">
        <v>0.98629241831714398</v>
      </c>
      <c r="U25">
        <f t="shared" si="4"/>
        <v>0.96318702198914319</v>
      </c>
      <c r="V25">
        <f t="shared" si="5"/>
        <v>9.1317690621797662E-2</v>
      </c>
    </row>
    <row r="26" spans="6:22" ht="49" customHeight="1" x14ac:dyDescent="0.2">
      <c r="F26" s="2">
        <v>3.9460000000000002</v>
      </c>
      <c r="G26" s="2">
        <v>87.5</v>
      </c>
      <c r="H26" s="2">
        <v>1.3196000000000001</v>
      </c>
      <c r="I26">
        <f t="shared" si="0"/>
        <v>0.82893715197724405</v>
      </c>
      <c r="J26">
        <f t="shared" si="1"/>
        <v>0.14331245319637512</v>
      </c>
      <c r="L26">
        <v>6.9052604438492997</v>
      </c>
      <c r="M26" s="2">
        <v>25</v>
      </c>
      <c r="N26">
        <v>3.05835476754365</v>
      </c>
      <c r="O26">
        <f t="shared" si="2"/>
        <v>0.46724644552173683</v>
      </c>
      <c r="P26">
        <f t="shared" si="3"/>
        <v>0.43385944150778533</v>
      </c>
      <c r="R26" s="4">
        <v>1.1774423759664101</v>
      </c>
      <c r="S26" s="2">
        <f t="shared" si="6"/>
        <v>108.85000000000002</v>
      </c>
      <c r="T26" s="4">
        <v>1.0203240281857699</v>
      </c>
      <c r="U26">
        <f t="shared" si="4"/>
        <v>0.95763850795970462</v>
      </c>
      <c r="V26">
        <f t="shared" si="5"/>
        <v>0.10080470735882283</v>
      </c>
    </row>
    <row r="27" spans="6:22" ht="49" customHeight="1" x14ac:dyDescent="0.2">
      <c r="F27" s="2">
        <v>3.95</v>
      </c>
      <c r="G27" s="2">
        <v>100</v>
      </c>
      <c r="H27" s="2">
        <v>1.3148</v>
      </c>
      <c r="I27">
        <f t="shared" si="0"/>
        <v>0.82934587048815644</v>
      </c>
      <c r="J27">
        <f t="shared" si="1"/>
        <v>0.14343688924373443</v>
      </c>
      <c r="L27">
        <v>7.4181552786378004</v>
      </c>
      <c r="M27" s="2">
        <v>25</v>
      </c>
      <c r="N27">
        <v>3.1226802708923702</v>
      </c>
      <c r="O27">
        <f t="shared" si="2"/>
        <v>0.43404487357538546</v>
      </c>
      <c r="P27">
        <f t="shared" si="3"/>
        <v>0.45153393893919769</v>
      </c>
      <c r="R27" s="4">
        <v>1.61516156355314</v>
      </c>
      <c r="S27" s="2">
        <f t="shared" si="6"/>
        <v>108.85000000000002</v>
      </c>
      <c r="T27" s="4">
        <v>1.1483018255870501</v>
      </c>
      <c r="U27">
        <f t="shared" si="4"/>
        <v>0.93536005106764264</v>
      </c>
      <c r="V27">
        <f t="shared" si="5"/>
        <v>0.1332845036891798</v>
      </c>
    </row>
    <row r="28" spans="6:22" ht="49" customHeight="1" x14ac:dyDescent="0.2">
      <c r="F28" s="2">
        <v>6.3689999999999998</v>
      </c>
      <c r="G28" s="2">
        <v>25</v>
      </c>
      <c r="H28" s="2">
        <v>1.8464</v>
      </c>
      <c r="I28">
        <f t="shared" si="0"/>
        <v>0.65462193433723681</v>
      </c>
      <c r="J28">
        <f t="shared" si="1"/>
        <v>0.212603004499377</v>
      </c>
      <c r="L28">
        <v>8.0019919780258597</v>
      </c>
      <c r="M28" s="2">
        <v>25</v>
      </c>
      <c r="N28">
        <v>3.16235972461631</v>
      </c>
      <c r="O28">
        <f t="shared" si="2"/>
        <v>0.40182685214393921</v>
      </c>
      <c r="P28">
        <f t="shared" si="3"/>
        <v>0.47035611504472863</v>
      </c>
      <c r="R28" s="4">
        <v>1.94544324100272</v>
      </c>
      <c r="S28" s="2">
        <f t="shared" si="6"/>
        <v>108.85000000000002</v>
      </c>
      <c r="T28" s="4">
        <v>1.25316044621457</v>
      </c>
      <c r="U28">
        <f t="shared" si="4"/>
        <v>0.91590895061515321</v>
      </c>
      <c r="V28">
        <f t="shared" si="5"/>
        <v>0.15628019207343144</v>
      </c>
    </row>
    <row r="29" spans="6:22" ht="49" customHeight="1" x14ac:dyDescent="0.2">
      <c r="F29" s="2">
        <v>6.37</v>
      </c>
      <c r="G29" s="2">
        <v>37.5</v>
      </c>
      <c r="H29" s="2">
        <v>1.8107</v>
      </c>
      <c r="I29">
        <f t="shared" si="0"/>
        <v>0.65996366942450457</v>
      </c>
      <c r="J29">
        <f t="shared" si="1"/>
        <v>0.21262928764886682</v>
      </c>
      <c r="L29">
        <v>8.6037606382646796</v>
      </c>
      <c r="M29" s="2">
        <v>25</v>
      </c>
      <c r="N29">
        <v>3.1625718141347199</v>
      </c>
      <c r="O29">
        <f t="shared" si="2"/>
        <v>0.37517440138501773</v>
      </c>
      <c r="P29">
        <f t="shared" si="3"/>
        <v>0.48845058402312164</v>
      </c>
      <c r="R29" s="4">
        <v>1.9741408207032001</v>
      </c>
      <c r="S29" s="2">
        <f t="shared" si="6"/>
        <v>108.85000000000002</v>
      </c>
      <c r="T29" s="4">
        <v>1.26132855160482</v>
      </c>
      <c r="U29">
        <f t="shared" si="4"/>
        <v>0.91419168101938575</v>
      </c>
      <c r="V29">
        <f t="shared" si="5"/>
        <v>0.15822076001870997</v>
      </c>
    </row>
    <row r="30" spans="6:22" ht="49" customHeight="1" x14ac:dyDescent="0.2">
      <c r="F30" s="2">
        <v>6.3710000000000004</v>
      </c>
      <c r="G30" s="2">
        <v>50</v>
      </c>
      <c r="H30" s="2">
        <v>1.7683</v>
      </c>
      <c r="I30">
        <f t="shared" si="0"/>
        <v>0.66637476579179311</v>
      </c>
      <c r="J30">
        <f t="shared" si="1"/>
        <v>0.21265556904376298</v>
      </c>
      <c r="L30">
        <v>9.1878302202611994</v>
      </c>
      <c r="M30" s="2">
        <v>25</v>
      </c>
      <c r="N30">
        <v>3.1627776657261202</v>
      </c>
      <c r="O30">
        <f t="shared" si="2"/>
        <v>0.35099445990586225</v>
      </c>
      <c r="P30">
        <f t="shared" si="3"/>
        <v>0.50486847917124666</v>
      </c>
      <c r="R30" s="4">
        <v>2.37639351943628</v>
      </c>
      <c r="S30" s="2">
        <f t="shared" si="6"/>
        <v>108.85000000000002</v>
      </c>
      <c r="T30" s="4">
        <v>1.39616716826758</v>
      </c>
      <c r="U30">
        <f t="shared" si="4"/>
        <v>0.88732819712251709</v>
      </c>
      <c r="V30">
        <f t="shared" si="5"/>
        <v>0.184511461002828</v>
      </c>
    </row>
    <row r="31" spans="6:22" ht="49" customHeight="1" x14ac:dyDescent="0.2">
      <c r="F31" s="2">
        <v>6.3719999999999999</v>
      </c>
      <c r="G31" s="2">
        <v>62.5</v>
      </c>
      <c r="H31" s="2">
        <v>1.7264999999999999</v>
      </c>
      <c r="I31">
        <f t="shared" si="0"/>
        <v>0.67275751985286414</v>
      </c>
      <c r="J31">
        <f t="shared" si="1"/>
        <v>0.21268184868424117</v>
      </c>
      <c r="L31">
        <v>9.8072979587423497</v>
      </c>
      <c r="M31" s="2">
        <v>25</v>
      </c>
      <c r="N31">
        <v>3.1629959931715499</v>
      </c>
      <c r="O31">
        <f t="shared" si="2"/>
        <v>0.32704664783640014</v>
      </c>
      <c r="P31">
        <f t="shared" si="3"/>
        <v>0.52116772118272225</v>
      </c>
      <c r="R31" s="4">
        <v>2.3979329236425202</v>
      </c>
      <c r="S31" s="2">
        <f t="shared" si="6"/>
        <v>108.85000000000002</v>
      </c>
      <c r="T31" s="4">
        <v>1.40297608535025</v>
      </c>
      <c r="U31">
        <f t="shared" si="4"/>
        <v>0.88584602903700471</v>
      </c>
      <c r="V31">
        <f t="shared" si="5"/>
        <v>0.1858730023404325</v>
      </c>
    </row>
    <row r="32" spans="6:22" ht="49" customHeight="1" x14ac:dyDescent="0.2">
      <c r="F32" s="2">
        <v>6.375</v>
      </c>
      <c r="G32" s="2">
        <v>75</v>
      </c>
      <c r="H32" s="2">
        <v>1.6847000000000001</v>
      </c>
      <c r="I32">
        <f t="shared" si="0"/>
        <v>0.67912100691176069</v>
      </c>
      <c r="J32">
        <f t="shared" si="1"/>
        <v>0.2127606770809245</v>
      </c>
      <c r="L32">
        <v>10.3028430392012</v>
      </c>
      <c r="M32" s="2">
        <v>25</v>
      </c>
      <c r="N32">
        <v>3.16810485539445</v>
      </c>
      <c r="O32">
        <f t="shared" si="2"/>
        <v>0.30850356740810136</v>
      </c>
      <c r="P32">
        <f t="shared" si="3"/>
        <v>0.53345359790548275</v>
      </c>
      <c r="R32" s="4">
        <v>2.72115374218314</v>
      </c>
      <c r="S32" s="2">
        <f t="shared" si="6"/>
        <v>108.85000000000002</v>
      </c>
      <c r="T32" s="4">
        <v>1.5105725459099999</v>
      </c>
      <c r="U32">
        <f t="shared" si="4"/>
        <v>0.86234535349611363</v>
      </c>
      <c r="V32">
        <f t="shared" si="5"/>
        <v>0.20577166931766325</v>
      </c>
    </row>
    <row r="33" spans="6:22" ht="49" customHeight="1" x14ac:dyDescent="0.2">
      <c r="F33" s="2">
        <v>6.3789999999999996</v>
      </c>
      <c r="G33" s="2">
        <v>87.5</v>
      </c>
      <c r="H33" s="2">
        <v>1.6448</v>
      </c>
      <c r="I33">
        <f t="shared" si="0"/>
        <v>0.68521101674503682</v>
      </c>
      <c r="J33">
        <f t="shared" si="1"/>
        <v>0.2128657570586385</v>
      </c>
      <c r="L33">
        <v>10.6036982589945</v>
      </c>
      <c r="M33" s="2">
        <v>25</v>
      </c>
      <c r="N33">
        <v>3.17314510042022</v>
      </c>
      <c r="O33">
        <f t="shared" si="2"/>
        <v>0.29751557241621757</v>
      </c>
      <c r="P33">
        <f t="shared" si="3"/>
        <v>0.54060973908299781</v>
      </c>
      <c r="R33" s="4">
        <v>2.74269314638937</v>
      </c>
      <c r="S33" s="2">
        <f t="shared" si="6"/>
        <v>108.85000000000002</v>
      </c>
      <c r="T33" s="4">
        <v>1.5173814629926701</v>
      </c>
      <c r="U33">
        <f t="shared" si="4"/>
        <v>0.8607556806295551</v>
      </c>
      <c r="V33">
        <f t="shared" si="5"/>
        <v>0.20706320009877133</v>
      </c>
    </row>
    <row r="34" spans="6:22" ht="49" customHeight="1" x14ac:dyDescent="0.2">
      <c r="F34" s="2">
        <v>6.3840000000000003</v>
      </c>
      <c r="G34" s="2">
        <v>100</v>
      </c>
      <c r="H34" s="2">
        <v>1.6043000000000001</v>
      </c>
      <c r="I34">
        <f t="shared" si="0"/>
        <v>0.69141902809136135</v>
      </c>
      <c r="J34">
        <f t="shared" si="1"/>
        <v>0.21299706758929771</v>
      </c>
      <c r="L34">
        <v>10.9931944216298</v>
      </c>
      <c r="M34" s="2">
        <v>25</v>
      </c>
      <c r="N34">
        <v>3.1535455337482201</v>
      </c>
      <c r="O34">
        <f t="shared" si="2"/>
        <v>0.28677548954686954</v>
      </c>
      <c r="P34">
        <f t="shared" si="3"/>
        <v>0.54955456469387354</v>
      </c>
      <c r="R34" s="4">
        <v>2.75717169168664</v>
      </c>
      <c r="S34" s="2">
        <f t="shared" si="6"/>
        <v>108.85000000000002</v>
      </c>
      <c r="T34" s="4">
        <v>1.52692822000757</v>
      </c>
      <c r="U34">
        <f t="shared" si="4"/>
        <v>0.85925933535452936</v>
      </c>
      <c r="V34">
        <f t="shared" si="5"/>
        <v>0.20792899444480487</v>
      </c>
    </row>
    <row r="35" spans="6:22" ht="49" customHeight="1" x14ac:dyDescent="0.2">
      <c r="F35" s="2">
        <v>7.407</v>
      </c>
      <c r="G35" s="2">
        <v>25</v>
      </c>
      <c r="H35" s="2">
        <v>2.0259</v>
      </c>
      <c r="I35">
        <f t="shared" si="0"/>
        <v>0.58236747930120036</v>
      </c>
      <c r="J35">
        <f t="shared" si="1"/>
        <v>0.23897214975812273</v>
      </c>
      <c r="L35">
        <v>1.5574024440197801E-2</v>
      </c>
      <c r="M35" s="3">
        <v>50</v>
      </c>
      <c r="N35">
        <v>0.86020285738643398</v>
      </c>
      <c r="O35">
        <f t="shared" si="2"/>
        <v>0.99951743514152136</v>
      </c>
      <c r="P35">
        <f t="shared" si="3"/>
        <v>1.7254230022280442E-3</v>
      </c>
      <c r="R35" s="4">
        <v>2.7643947449044002</v>
      </c>
      <c r="S35" s="2">
        <f t="shared" si="6"/>
        <v>108.85000000000002</v>
      </c>
      <c r="T35" s="4">
        <v>1.53101876047505</v>
      </c>
      <c r="U35">
        <f t="shared" si="4"/>
        <v>0.85856809004195112</v>
      </c>
      <c r="V35">
        <f t="shared" si="5"/>
        <v>0.20836021521322626</v>
      </c>
    </row>
    <row r="36" spans="6:22" ht="49" customHeight="1" x14ac:dyDescent="0.2">
      <c r="F36" s="2">
        <v>7.4080000000000004</v>
      </c>
      <c r="G36" s="2">
        <v>37.5</v>
      </c>
      <c r="H36" s="2">
        <v>1.9772000000000001</v>
      </c>
      <c r="I36">
        <f t="shared" si="0"/>
        <v>0.58994365256775638</v>
      </c>
      <c r="J36">
        <f t="shared" si="1"/>
        <v>0.23899670201869946</v>
      </c>
      <c r="L36">
        <v>0.281031087748918</v>
      </c>
      <c r="M36" s="3">
        <v>50</v>
      </c>
      <c r="N36">
        <v>0.86523062655818195</v>
      </c>
      <c r="O36">
        <f t="shared" si="2"/>
        <v>0.99127743898022169</v>
      </c>
      <c r="P36">
        <f t="shared" si="3"/>
        <v>3.0245508104267006E-2</v>
      </c>
      <c r="R36" s="4">
        <v>3.00864856097605</v>
      </c>
      <c r="S36" s="2">
        <f t="shared" si="6"/>
        <v>108.85000000000002</v>
      </c>
      <c r="T36" s="4">
        <v>1.6141044170916801</v>
      </c>
      <c r="U36">
        <f t="shared" si="4"/>
        <v>0.83948279218537702</v>
      </c>
      <c r="V36">
        <f t="shared" si="5"/>
        <v>0.22267091962589974</v>
      </c>
    </row>
    <row r="37" spans="6:22" ht="49" customHeight="1" x14ac:dyDescent="0.2">
      <c r="F37" s="2">
        <v>7.4089999999999998</v>
      </c>
      <c r="G37" s="2">
        <v>50</v>
      </c>
      <c r="H37" s="2">
        <v>1.9248000000000001</v>
      </c>
      <c r="I37">
        <f t="shared" si="0"/>
        <v>0.59821103809305343</v>
      </c>
      <c r="J37">
        <f t="shared" si="1"/>
        <v>0.23902125269511848</v>
      </c>
      <c r="L37">
        <v>0.58156609395565595</v>
      </c>
      <c r="M37" s="3">
        <v>50</v>
      </c>
      <c r="N37">
        <v>0.924547074516197</v>
      </c>
      <c r="O37">
        <f t="shared" si="2"/>
        <v>0.98081388822349291</v>
      </c>
      <c r="P37">
        <f t="shared" si="3"/>
        <v>6.0629071160874591E-2</v>
      </c>
      <c r="R37" s="4">
        <v>3.0230622285497999</v>
      </c>
      <c r="S37" s="2">
        <f t="shared" si="6"/>
        <v>108.85000000000002</v>
      </c>
      <c r="T37" s="4">
        <v>1.62091982194669</v>
      </c>
      <c r="U37">
        <f t="shared" si="4"/>
        <v>0.83815698383309767</v>
      </c>
      <c r="V37">
        <f t="shared" si="5"/>
        <v>0.22349925921415167</v>
      </c>
    </row>
    <row r="38" spans="6:22" ht="49" customHeight="1" x14ac:dyDescent="0.2">
      <c r="F38" s="2">
        <v>7.4109999999999996</v>
      </c>
      <c r="G38" s="2">
        <v>62.5</v>
      </c>
      <c r="H38" s="2">
        <v>1.8772</v>
      </c>
      <c r="I38">
        <f t="shared" si="0"/>
        <v>0.60577874406549992</v>
      </c>
      <c r="J38">
        <f t="shared" si="1"/>
        <v>0.23907034929609677</v>
      </c>
      <c r="L38">
        <v>0.95266453052321598</v>
      </c>
      <c r="M38" s="3">
        <v>50</v>
      </c>
      <c r="N38">
        <v>1.0233620763147899</v>
      </c>
      <c r="O38">
        <f t="shared" si="2"/>
        <v>0.96548380557522617</v>
      </c>
      <c r="P38">
        <f t="shared" si="3"/>
        <v>9.5617396848409059E-2</v>
      </c>
      <c r="R38" s="4">
        <v>3.0446665104795501</v>
      </c>
      <c r="S38" s="2">
        <f t="shared" si="6"/>
        <v>108.85000000000002</v>
      </c>
      <c r="T38" s="4">
        <v>1.63046009118924</v>
      </c>
      <c r="U38">
        <f t="shared" si="4"/>
        <v>0.83622453103139593</v>
      </c>
      <c r="V38">
        <f t="shared" si="5"/>
        <v>0.22473753560994042</v>
      </c>
    </row>
    <row r="39" spans="6:22" ht="49" customHeight="1" x14ac:dyDescent="0.2">
      <c r="F39" s="2">
        <v>7.4139999999999997</v>
      </c>
      <c r="G39" s="2">
        <v>75</v>
      </c>
      <c r="H39" s="2">
        <v>1.8274999999999999</v>
      </c>
      <c r="I39">
        <f t="shared" si="0"/>
        <v>0.61375014892061008</v>
      </c>
      <c r="J39">
        <f t="shared" si="1"/>
        <v>0.23914398232021394</v>
      </c>
      <c r="L39">
        <v>1.3413164937028099</v>
      </c>
      <c r="M39" s="3">
        <v>50</v>
      </c>
      <c r="N39">
        <v>1.1468543173732499</v>
      </c>
      <c r="O39">
        <f t="shared" si="2"/>
        <v>0.94608387246656556</v>
      </c>
      <c r="P39">
        <f t="shared" si="3"/>
        <v>0.1295713965076544</v>
      </c>
      <c r="R39" s="4">
        <v>3.0661734758240402</v>
      </c>
      <c r="S39" s="2">
        <f t="shared" si="6"/>
        <v>108.85000000000002</v>
      </c>
      <c r="T39" s="4">
        <v>1.63590333219197</v>
      </c>
      <c r="U39">
        <f t="shared" si="4"/>
        <v>0.83466663332172997</v>
      </c>
      <c r="V39">
        <f t="shared" si="5"/>
        <v>0.22596631771716272</v>
      </c>
    </row>
    <row r="40" spans="6:22" ht="49" customHeight="1" x14ac:dyDescent="0.2">
      <c r="F40" s="2">
        <v>7.4180000000000001</v>
      </c>
      <c r="G40" s="2">
        <v>87.5</v>
      </c>
      <c r="H40" s="2">
        <v>1.7834000000000001</v>
      </c>
      <c r="I40">
        <f t="shared" si="0"/>
        <v>0.62086336122881025</v>
      </c>
      <c r="J40">
        <f t="shared" si="1"/>
        <v>0.23924213752108506</v>
      </c>
      <c r="L40">
        <v>1.6594050265215801</v>
      </c>
      <c r="M40" s="3">
        <v>50</v>
      </c>
      <c r="N40">
        <v>1.2308480045911101</v>
      </c>
      <c r="O40">
        <f t="shared" si="2"/>
        <v>0.92905303222322788</v>
      </c>
      <c r="P40">
        <f t="shared" si="3"/>
        <v>0.15552007339993612</v>
      </c>
      <c r="R40" s="4">
        <v>3.0805547045360302</v>
      </c>
      <c r="S40" s="2">
        <f t="shared" si="6"/>
        <v>108.85000000000002</v>
      </c>
      <c r="T40" s="4">
        <v>1.6413530609670399</v>
      </c>
      <c r="U40">
        <f t="shared" si="4"/>
        <v>0.83345514956948397</v>
      </c>
      <c r="V40">
        <f t="shared" si="5"/>
        <v>0.2267858060918658</v>
      </c>
    </row>
    <row r="41" spans="6:22" ht="49" customHeight="1" x14ac:dyDescent="0.2">
      <c r="F41" s="2">
        <v>7.4240000000000004</v>
      </c>
      <c r="G41" s="2">
        <v>100</v>
      </c>
      <c r="H41" s="2">
        <v>1.7375</v>
      </c>
      <c r="I41">
        <f t="shared" si="0"/>
        <v>0.62829071548459614</v>
      </c>
      <c r="J41">
        <f t="shared" si="1"/>
        <v>0.23938932284669048</v>
      </c>
      <c r="L41">
        <v>2.0657851782695502</v>
      </c>
      <c r="M41" s="3">
        <v>50</v>
      </c>
      <c r="N41">
        <v>1.34941228331001</v>
      </c>
      <c r="O41">
        <f t="shared" si="2"/>
        <v>0.9044431671576203</v>
      </c>
      <c r="P41">
        <f t="shared" si="3"/>
        <v>0.18650300391503996</v>
      </c>
      <c r="R41" s="4">
        <v>0.81774946385770098</v>
      </c>
      <c r="S41" s="3">
        <f>413-273.15</f>
        <v>139.85000000000002</v>
      </c>
      <c r="T41" s="4">
        <v>0.87725242840923401</v>
      </c>
      <c r="U41">
        <f t="shared" si="4"/>
        <v>0.97448455284063573</v>
      </c>
      <c r="V41">
        <f t="shared" si="5"/>
        <v>7.2234645422764462E-2</v>
      </c>
    </row>
    <row r="42" spans="6:22" ht="49" customHeight="1" x14ac:dyDescent="0.2">
      <c r="F42" s="2">
        <v>8.4920000000000009</v>
      </c>
      <c r="G42" s="2">
        <v>25</v>
      </c>
      <c r="H42" s="2">
        <v>2.2159</v>
      </c>
      <c r="I42">
        <f t="shared" si="0"/>
        <v>0.50763978529027365</v>
      </c>
      <c r="J42">
        <f t="shared" si="1"/>
        <v>0.26471120670885023</v>
      </c>
      <c r="L42">
        <v>2.4190098746384598</v>
      </c>
      <c r="M42" s="3">
        <v>50</v>
      </c>
      <c r="N42">
        <v>1.4778262487810001</v>
      </c>
      <c r="O42">
        <f t="shared" si="2"/>
        <v>0.87914875516035063</v>
      </c>
      <c r="P42">
        <f t="shared" si="3"/>
        <v>0.21164353052592433</v>
      </c>
      <c r="R42" s="4">
        <v>0.86069851682315401</v>
      </c>
      <c r="S42" s="3">
        <f t="shared" ref="S42:S56" si="7">413-273.15</f>
        <v>139.85000000000002</v>
      </c>
      <c r="T42" s="4">
        <v>0.88540755825478901</v>
      </c>
      <c r="U42">
        <f t="shared" si="4"/>
        <v>0.97291651926652878</v>
      </c>
      <c r="V42">
        <f t="shared" si="5"/>
        <v>7.5741134531136955E-2</v>
      </c>
    </row>
    <row r="43" spans="6:22" ht="49" customHeight="1" x14ac:dyDescent="0.2">
      <c r="F43" s="2">
        <v>8.4930000000000003</v>
      </c>
      <c r="G43" s="2">
        <v>37.5</v>
      </c>
      <c r="H43" s="2">
        <v>2.1575000000000002</v>
      </c>
      <c r="I43">
        <f t="shared" si="0"/>
        <v>0.51675176337750783</v>
      </c>
      <c r="J43">
        <f t="shared" si="1"/>
        <v>0.2647341262939516</v>
      </c>
      <c r="L43">
        <v>2.8075453965138299</v>
      </c>
      <c r="M43" s="3">
        <v>50</v>
      </c>
      <c r="N43">
        <v>1.6210552909057201</v>
      </c>
      <c r="O43">
        <f t="shared" si="2"/>
        <v>0.84876139991761457</v>
      </c>
      <c r="P43">
        <f t="shared" si="3"/>
        <v>0.23756161144925916</v>
      </c>
      <c r="R43" s="4">
        <v>0.89632719998558297</v>
      </c>
      <c r="S43" s="3">
        <f t="shared" si="7"/>
        <v>139.85000000000002</v>
      </c>
      <c r="T43" s="4">
        <v>0.88537511939303304</v>
      </c>
      <c r="U43">
        <f t="shared" si="4"/>
        <v>0.97181236358117573</v>
      </c>
      <c r="V43">
        <f t="shared" si="5"/>
        <v>7.8629915603590228E-2</v>
      </c>
    </row>
    <row r="44" spans="6:22" ht="49" customHeight="1" x14ac:dyDescent="0.2">
      <c r="F44" s="2">
        <v>8.4939999999999998</v>
      </c>
      <c r="G44" s="2">
        <v>50</v>
      </c>
      <c r="H44" s="2">
        <v>2.0958000000000001</v>
      </c>
      <c r="I44">
        <f t="shared" si="0"/>
        <v>0.52656102594517551</v>
      </c>
      <c r="J44">
        <f t="shared" si="1"/>
        <v>0.26475704445025106</v>
      </c>
      <c r="L44">
        <v>3.1608283135348398</v>
      </c>
      <c r="M44" s="3">
        <v>50</v>
      </c>
      <c r="N44">
        <v>1.73960085584358</v>
      </c>
      <c r="O44">
        <f t="shared" si="2"/>
        <v>0.82027853604362744</v>
      </c>
      <c r="P44">
        <f t="shared" si="3"/>
        <v>0.25969177816100919</v>
      </c>
      <c r="R44" s="4">
        <v>1.3549694534051799</v>
      </c>
      <c r="S44" s="3">
        <f t="shared" si="7"/>
        <v>139.85000000000002</v>
      </c>
      <c r="T44" s="4">
        <v>0.99421398835805297</v>
      </c>
      <c r="U44">
        <f t="shared" si="4"/>
        <v>0.95262260134772869</v>
      </c>
      <c r="V44">
        <f t="shared" si="5"/>
        <v>0.11426668102745906</v>
      </c>
    </row>
    <row r="45" spans="6:22" ht="49" customHeight="1" x14ac:dyDescent="0.2">
      <c r="F45" s="2">
        <v>8.4949999999999992</v>
      </c>
      <c r="G45" s="2">
        <v>62.5</v>
      </c>
      <c r="H45" s="2">
        <v>2.0392000000000001</v>
      </c>
      <c r="I45">
        <f t="shared" si="0"/>
        <v>0.53572198415703887</v>
      </c>
      <c r="J45">
        <f t="shared" si="1"/>
        <v>0.26477996117788216</v>
      </c>
      <c r="L45">
        <v>3.54942205606232</v>
      </c>
      <c r="M45" s="3">
        <v>50</v>
      </c>
      <c r="N45">
        <v>1.87296149743517</v>
      </c>
      <c r="O45">
        <f t="shared" si="2"/>
        <v>0.78700402317164475</v>
      </c>
      <c r="P45">
        <f t="shared" si="3"/>
        <v>0.28259606891877154</v>
      </c>
      <c r="R45" s="4">
        <v>1.3694479987024499</v>
      </c>
      <c r="S45" s="3">
        <f t="shared" si="7"/>
        <v>139.85000000000002</v>
      </c>
      <c r="T45" s="4">
        <v>1.00376074537296</v>
      </c>
      <c r="U45">
        <f t="shared" si="4"/>
        <v>0.95168027649204767</v>
      </c>
      <c r="V45">
        <f t="shared" si="5"/>
        <v>0.11534684097722059</v>
      </c>
    </row>
    <row r="46" spans="6:22" ht="49" customHeight="1" x14ac:dyDescent="0.2">
      <c r="F46" s="2">
        <v>8.4979999999999993</v>
      </c>
      <c r="G46" s="2">
        <v>75</v>
      </c>
      <c r="H46" s="2">
        <v>1.9770000000000001</v>
      </c>
      <c r="I46">
        <f t="shared" si="0"/>
        <v>0.54590188612161317</v>
      </c>
      <c r="J46">
        <f t="shared" si="1"/>
        <v>0.26484870279010175</v>
      </c>
      <c r="L46">
        <v>3.9732684034441599</v>
      </c>
      <c r="M46" s="3">
        <v>50</v>
      </c>
      <c r="N46">
        <v>2.0310056162136201</v>
      </c>
      <c r="O46">
        <f t="shared" si="2"/>
        <v>0.74770354494225111</v>
      </c>
      <c r="P46">
        <f t="shared" si="3"/>
        <v>0.30601499647841918</v>
      </c>
      <c r="R46" s="4">
        <v>1.3909874029086799</v>
      </c>
      <c r="S46" s="3">
        <f t="shared" si="7"/>
        <v>139.85000000000002</v>
      </c>
      <c r="T46" s="4">
        <v>1.01056966245562</v>
      </c>
      <c r="U46">
        <f t="shared" si="4"/>
        <v>0.95061478827602697</v>
      </c>
      <c r="V46">
        <f t="shared" si="5"/>
        <v>0.11694890430496721</v>
      </c>
    </row>
    <row r="47" spans="6:22" ht="49" customHeight="1" x14ac:dyDescent="0.2">
      <c r="F47" s="2">
        <v>8.5020000000000007</v>
      </c>
      <c r="G47" s="2">
        <v>87.5</v>
      </c>
      <c r="H47" s="2">
        <v>1.9206000000000001</v>
      </c>
      <c r="I47">
        <f t="shared" si="0"/>
        <v>0.55525694459632813</v>
      </c>
      <c r="J47">
        <f t="shared" si="1"/>
        <v>0.26494033827980762</v>
      </c>
      <c r="L47">
        <v>4.4323964660064101</v>
      </c>
      <c r="M47" s="3">
        <v>50</v>
      </c>
      <c r="N47">
        <v>2.2087990119123599</v>
      </c>
      <c r="O47">
        <f t="shared" si="2"/>
        <v>0.70276053958202545</v>
      </c>
      <c r="P47">
        <f t="shared" si="3"/>
        <v>0.32971709440738667</v>
      </c>
      <c r="R47" s="4">
        <v>1.7493827605471399</v>
      </c>
      <c r="S47" s="3">
        <f t="shared" si="7"/>
        <v>139.85000000000002</v>
      </c>
      <c r="T47" s="4">
        <v>1.0990142190344001</v>
      </c>
      <c r="U47">
        <f t="shared" si="4"/>
        <v>0.93307445775773179</v>
      </c>
      <c r="V47">
        <f t="shared" si="5"/>
        <v>0.14277912254222072</v>
      </c>
    </row>
    <row r="48" spans="6:22" ht="49" customHeight="1" x14ac:dyDescent="0.2">
      <c r="F48" s="2">
        <v>8.5079999999999991</v>
      </c>
      <c r="G48" s="2">
        <v>100</v>
      </c>
      <c r="H48" s="2">
        <v>1.8681000000000001</v>
      </c>
      <c r="I48">
        <f t="shared" si="0"/>
        <v>0.56403093332351739</v>
      </c>
      <c r="J48">
        <f t="shared" si="1"/>
        <v>0.26507774868903244</v>
      </c>
      <c r="L48">
        <v>4.9092527171370399</v>
      </c>
      <c r="M48" s="3">
        <v>50</v>
      </c>
      <c r="N48">
        <v>2.3816644452715399</v>
      </c>
      <c r="O48">
        <f t="shared" si="2"/>
        <v>0.65621659307766811</v>
      </c>
      <c r="P48">
        <f t="shared" si="3"/>
        <v>0.35267910792304347</v>
      </c>
      <c r="R48" s="4">
        <v>1.7995873055920999</v>
      </c>
      <c r="S48" s="3">
        <f t="shared" si="7"/>
        <v>139.85000000000002</v>
      </c>
      <c r="T48" s="4">
        <v>1.11262556542738</v>
      </c>
      <c r="U48">
        <f t="shared" si="4"/>
        <v>0.93039992183699127</v>
      </c>
      <c r="V48">
        <f t="shared" si="5"/>
        <v>0.14627728310914123</v>
      </c>
    </row>
    <row r="49" spans="6:22" ht="49" customHeight="1" x14ac:dyDescent="0.2">
      <c r="F49" s="2">
        <v>11.536</v>
      </c>
      <c r="G49" s="2">
        <v>25</v>
      </c>
      <c r="H49" s="2">
        <v>2.6629999999999998</v>
      </c>
      <c r="I49">
        <f t="shared" si="0"/>
        <v>0.33060173105656726</v>
      </c>
      <c r="J49">
        <f t="shared" si="1"/>
        <v>0.32843411875309148</v>
      </c>
      <c r="L49">
        <v>5.4392644236467298</v>
      </c>
      <c r="M49" s="3">
        <v>50</v>
      </c>
      <c r="N49">
        <v>2.5446801918786299</v>
      </c>
      <c r="O49">
        <f t="shared" si="2"/>
        <v>0.60732469643853337</v>
      </c>
      <c r="P49">
        <f t="shared" si="3"/>
        <v>0.37642236722656364</v>
      </c>
      <c r="R49" s="4">
        <v>2.05080466398746</v>
      </c>
      <c r="S49" s="3">
        <f t="shared" si="7"/>
        <v>139.85000000000002</v>
      </c>
      <c r="T49" s="4">
        <v>1.18887635387194</v>
      </c>
      <c r="U49">
        <f t="shared" si="4"/>
        <v>0.91590232918513959</v>
      </c>
      <c r="V49">
        <f t="shared" si="5"/>
        <v>0.16336136038917382</v>
      </c>
    </row>
    <row r="50" spans="6:22" ht="49" customHeight="1" x14ac:dyDescent="0.2">
      <c r="F50" s="2">
        <v>11.537000000000001</v>
      </c>
      <c r="G50" s="2">
        <v>37.5</v>
      </c>
      <c r="H50" s="2">
        <v>2.5760000000000001</v>
      </c>
      <c r="I50">
        <f t="shared" si="0"/>
        <v>0.34274338309056085</v>
      </c>
      <c r="J50">
        <f t="shared" si="1"/>
        <v>0.32845323793383013</v>
      </c>
      <c r="L50">
        <v>6.19927681632839</v>
      </c>
      <c r="M50" s="3">
        <v>50</v>
      </c>
      <c r="N50">
        <v>2.7225796323365801</v>
      </c>
      <c r="O50">
        <f t="shared" si="2"/>
        <v>0.54438011200968162</v>
      </c>
      <c r="P50">
        <f t="shared" si="3"/>
        <v>0.40758144368155591</v>
      </c>
      <c r="R50" s="4">
        <v>2.2948638468885698</v>
      </c>
      <c r="S50" s="3">
        <f t="shared" si="7"/>
        <v>139.85000000000002</v>
      </c>
      <c r="T50" s="4">
        <v>1.2637679540089</v>
      </c>
      <c r="U50">
        <f t="shared" si="4"/>
        <v>0.9007820059542343</v>
      </c>
      <c r="V50">
        <f t="shared" si="5"/>
        <v>0.1793163303022873</v>
      </c>
    </row>
    <row r="51" spans="6:22" ht="49" customHeight="1" x14ac:dyDescent="0.2">
      <c r="F51" s="2">
        <v>11.542</v>
      </c>
      <c r="G51" s="2">
        <v>62.5</v>
      </c>
      <c r="H51" s="2">
        <v>2.3929999999999998</v>
      </c>
      <c r="I51">
        <f t="shared" si="0"/>
        <v>0.36967308139759419</v>
      </c>
      <c r="J51">
        <f t="shared" si="1"/>
        <v>0.32854881751041121</v>
      </c>
      <c r="L51">
        <v>7.0835903012710801</v>
      </c>
      <c r="M51" s="3">
        <v>50</v>
      </c>
      <c r="N51">
        <v>2.83144393455167</v>
      </c>
      <c r="O51">
        <f t="shared" si="2"/>
        <v>0.48547040112409473</v>
      </c>
      <c r="P51">
        <f t="shared" si="3"/>
        <v>0.4401324853218383</v>
      </c>
      <c r="R51" s="4">
        <v>2.3881472003460198</v>
      </c>
      <c r="S51" s="3">
        <f t="shared" si="7"/>
        <v>139.85000000000002</v>
      </c>
      <c r="T51" s="4">
        <v>1.29099713456721</v>
      </c>
      <c r="U51">
        <f t="shared" si="4"/>
        <v>0.89486503543391682</v>
      </c>
      <c r="V51">
        <f t="shared" si="5"/>
        <v>0.18525499459001951</v>
      </c>
    </row>
    <row r="52" spans="6:22" ht="49" customHeight="1" x14ac:dyDescent="0.2">
      <c r="F52" s="2">
        <v>11.545999999999999</v>
      </c>
      <c r="G52" s="2">
        <v>75</v>
      </c>
      <c r="H52" s="2">
        <v>2.3069999999999999</v>
      </c>
      <c r="I52">
        <f t="shared" si="0"/>
        <v>0.38300572183836878</v>
      </c>
      <c r="J52">
        <f t="shared" si="1"/>
        <v>0.32862526158471811</v>
      </c>
      <c r="L52">
        <v>8.0213794551794493</v>
      </c>
      <c r="M52" s="3">
        <v>50</v>
      </c>
      <c r="N52">
        <v>2.8761823470824099</v>
      </c>
      <c r="O52">
        <f t="shared" si="2"/>
        <v>0.43551074380710048</v>
      </c>
      <c r="P52">
        <f t="shared" si="3"/>
        <v>0.47095900674760871</v>
      </c>
      <c r="R52" s="4">
        <v>2.7327452287840801</v>
      </c>
      <c r="S52" s="3">
        <f t="shared" si="7"/>
        <v>139.85000000000002</v>
      </c>
      <c r="T52" s="4">
        <v>1.3985741318099101</v>
      </c>
      <c r="U52">
        <f t="shared" si="4"/>
        <v>0.87135744582727781</v>
      </c>
      <c r="V52">
        <f t="shared" si="5"/>
        <v>0.20646723236841544</v>
      </c>
    </row>
    <row r="53" spans="6:22" ht="49" customHeight="1" x14ac:dyDescent="0.2">
      <c r="F53" s="2">
        <v>11.532999999999999</v>
      </c>
      <c r="G53" s="2">
        <v>87.5</v>
      </c>
      <c r="H53" s="2">
        <v>2.2149999999999999</v>
      </c>
      <c r="I53">
        <f t="shared" si="0"/>
        <v>0.39836120108905182</v>
      </c>
      <c r="J53">
        <f t="shared" si="1"/>
        <v>0.32837675467835725</v>
      </c>
      <c r="L53">
        <v>8.8001680081675193</v>
      </c>
      <c r="M53" s="3">
        <v>50</v>
      </c>
      <c r="N53">
        <v>2.87152261560438</v>
      </c>
      <c r="O53">
        <f t="shared" si="2"/>
        <v>0.40233817545246431</v>
      </c>
      <c r="P53">
        <f t="shared" si="3"/>
        <v>0.4940916597883297</v>
      </c>
      <c r="R53" s="4">
        <v>2.7542846329903199</v>
      </c>
      <c r="S53" s="3">
        <f t="shared" si="7"/>
        <v>139.85000000000002</v>
      </c>
      <c r="T53" s="4">
        <v>1.40538304889257</v>
      </c>
      <c r="U53">
        <f t="shared" si="4"/>
        <v>0.86982428570284165</v>
      </c>
      <c r="V53">
        <f t="shared" si="5"/>
        <v>0.20775650380282076</v>
      </c>
    </row>
    <row r="54" spans="6:22" ht="49" customHeight="1" x14ac:dyDescent="0.2">
      <c r="F54" s="2">
        <v>11.561999999999999</v>
      </c>
      <c r="G54" s="2">
        <v>100</v>
      </c>
      <c r="H54" s="2">
        <v>2.1280000000000001</v>
      </c>
      <c r="I54">
        <f t="shared" si="0"/>
        <v>0.41210850599050697</v>
      </c>
      <c r="J54">
        <f t="shared" si="1"/>
        <v>0.32893086389948334</v>
      </c>
      <c r="L54">
        <v>9.4905485009221699</v>
      </c>
      <c r="M54" s="3">
        <v>50</v>
      </c>
      <c r="N54">
        <v>2.8520290936915802</v>
      </c>
      <c r="O54">
        <f t="shared" si="2"/>
        <v>0.37710816650885587</v>
      </c>
      <c r="P54">
        <f t="shared" si="3"/>
        <v>0.5129698734715844</v>
      </c>
      <c r="R54" s="4">
        <v>2.9121861990664799</v>
      </c>
      <c r="S54" s="3">
        <f t="shared" si="7"/>
        <v>139.85000000000002</v>
      </c>
      <c r="T54" s="4">
        <v>1.4530389806988799</v>
      </c>
      <c r="U54">
        <f t="shared" si="4"/>
        <v>0.85859346077163989</v>
      </c>
      <c r="V54">
        <f t="shared" si="5"/>
        <v>0.21708150293986694</v>
      </c>
    </row>
    <row r="55" spans="6:22" ht="49" customHeight="1" x14ac:dyDescent="0.2">
      <c r="F55" s="2">
        <v>18.542000000000002</v>
      </c>
      <c r="G55" s="2">
        <v>25</v>
      </c>
      <c r="H55" s="2">
        <v>3.0539999999999998</v>
      </c>
      <c r="I55">
        <f t="shared" si="0"/>
        <v>0.12999560239641733</v>
      </c>
      <c r="J55">
        <f t="shared" si="1"/>
        <v>0.44011138809248657</v>
      </c>
      <c r="L55">
        <v>10.357948886426</v>
      </c>
      <c r="M55" s="3">
        <v>50</v>
      </c>
      <c r="N55">
        <v>2.8276637507823401</v>
      </c>
      <c r="O55">
        <f t="shared" si="2"/>
        <v>0.34810121549118483</v>
      </c>
      <c r="P55">
        <f t="shared" si="3"/>
        <v>0.53478097620865184</v>
      </c>
      <c r="R55" s="4">
        <v>2.93375804213448</v>
      </c>
      <c r="S55" s="3">
        <f t="shared" si="7"/>
        <v>139.85000000000002</v>
      </c>
      <c r="T55" s="4">
        <v>1.46121357386149</v>
      </c>
      <c r="U55">
        <f t="shared" si="4"/>
        <v>0.85688363943118406</v>
      </c>
      <c r="V55">
        <f t="shared" si="5"/>
        <v>0.21833842889313124</v>
      </c>
    </row>
    <row r="56" spans="6:22" ht="49" customHeight="1" x14ac:dyDescent="0.2">
      <c r="F56" s="2">
        <v>18.544</v>
      </c>
      <c r="G56" s="2">
        <v>37.5</v>
      </c>
      <c r="H56" s="2">
        <v>2.911</v>
      </c>
      <c r="I56">
        <f t="shared" si="0"/>
        <v>0.14299696565661529</v>
      </c>
      <c r="J56">
        <f t="shared" si="1"/>
        <v>0.44013796577094894</v>
      </c>
      <c r="L56">
        <v>10.9953194754319</v>
      </c>
      <c r="M56" s="3">
        <v>50</v>
      </c>
      <c r="N56">
        <v>2.7933489142888002</v>
      </c>
      <c r="O56">
        <f t="shared" si="2"/>
        <v>0.33068040684592681</v>
      </c>
      <c r="P56">
        <f t="shared" si="3"/>
        <v>0.54960241149386058</v>
      </c>
      <c r="R56" s="4">
        <v>3.02713871217719</v>
      </c>
      <c r="S56" s="3">
        <f t="shared" si="7"/>
        <v>139.85000000000002</v>
      </c>
      <c r="T56" s="4">
        <v>1.4925397826596301</v>
      </c>
      <c r="U56">
        <f t="shared" si="4"/>
        <v>0.84977303491033551</v>
      </c>
      <c r="V56">
        <f t="shared" si="5"/>
        <v>0.22373321064715629</v>
      </c>
    </row>
    <row r="57" spans="6:22" ht="49" customHeight="1" x14ac:dyDescent="0.2">
      <c r="F57" s="2">
        <v>18.547999999999998</v>
      </c>
      <c r="G57" s="2">
        <v>50</v>
      </c>
      <c r="H57" s="2">
        <v>2.7839999999999998</v>
      </c>
      <c r="I57">
        <f t="shared" si="0"/>
        <v>0.15559787161727359</v>
      </c>
      <c r="J57">
        <f t="shared" si="1"/>
        <v>0.44019111355880458</v>
      </c>
      <c r="L57">
        <v>5.1088622229060701E-2</v>
      </c>
      <c r="M57" s="3">
        <v>90</v>
      </c>
      <c r="N57">
        <v>0.840478532174188</v>
      </c>
      <c r="O57">
        <f t="shared" si="2"/>
        <v>0.99845412744952644</v>
      </c>
      <c r="P57">
        <f t="shared" si="3"/>
        <v>5.6378497283604938E-3</v>
      </c>
      <c r="R57" s="4">
        <v>0.84501973364090199</v>
      </c>
      <c r="S57" s="3">
        <f>445-273.15</f>
        <v>171.85000000000002</v>
      </c>
      <c r="T57" s="4">
        <v>0.82533078628196599</v>
      </c>
      <c r="U57">
        <f t="shared" si="4"/>
        <v>0.97518532063386465</v>
      </c>
      <c r="V57">
        <f t="shared" si="5"/>
        <v>7.4464147894517316E-2</v>
      </c>
    </row>
    <row r="58" spans="6:22" ht="49" customHeight="1" x14ac:dyDescent="0.2">
      <c r="F58" s="2">
        <v>18.550999999999998</v>
      </c>
      <c r="G58" s="2">
        <v>62.5</v>
      </c>
      <c r="H58" s="2">
        <v>2.6589999999999998</v>
      </c>
      <c r="I58">
        <f t="shared" si="0"/>
        <v>0.16910537202170867</v>
      </c>
      <c r="J58">
        <f t="shared" si="1"/>
        <v>0.44023096777817528</v>
      </c>
      <c r="L58">
        <v>0.245778482894564</v>
      </c>
      <c r="M58" s="3">
        <v>90</v>
      </c>
      <c r="N58">
        <v>0.84054714937132102</v>
      </c>
      <c r="O58">
        <f t="shared" si="2"/>
        <v>0.99258434664277173</v>
      </c>
      <c r="P58">
        <f t="shared" si="3"/>
        <v>2.6552243857430408E-2</v>
      </c>
      <c r="R58" s="4">
        <v>0.87358755789435705</v>
      </c>
      <c r="S58" s="3">
        <f t="shared" ref="S58:S75" si="8">445-273.15</f>
        <v>171.85000000000002</v>
      </c>
      <c r="T58" s="4">
        <v>0.82803618735244799</v>
      </c>
      <c r="U58">
        <f t="shared" si="4"/>
        <v>0.97427428601911936</v>
      </c>
      <c r="V58">
        <f t="shared" si="5"/>
        <v>7.678826952461501E-2</v>
      </c>
    </row>
    <row r="59" spans="6:22" ht="49" customHeight="1" x14ac:dyDescent="0.2">
      <c r="F59" s="2">
        <v>18.559000000000001</v>
      </c>
      <c r="G59" s="2">
        <v>75</v>
      </c>
      <c r="H59" s="2">
        <v>2.5419999999999998</v>
      </c>
      <c r="I59">
        <f t="shared" si="0"/>
        <v>0.18272645692762182</v>
      </c>
      <c r="J59">
        <f t="shared" si="1"/>
        <v>0.44033721795904635</v>
      </c>
      <c r="L59">
        <v>0.49339091633068399</v>
      </c>
      <c r="M59" s="3">
        <v>90</v>
      </c>
      <c r="N59">
        <v>0.87023968194889501</v>
      </c>
      <c r="O59">
        <f t="shared" si="2"/>
        <v>0.98464909884910612</v>
      </c>
      <c r="P59">
        <f t="shared" si="3"/>
        <v>5.1913899230702935E-2</v>
      </c>
      <c r="R59" s="4">
        <v>0.89506208437708401</v>
      </c>
      <c r="S59" s="3">
        <f t="shared" si="8"/>
        <v>171.85000000000002</v>
      </c>
      <c r="T59" s="4">
        <v>0.83211375227522599</v>
      </c>
      <c r="U59">
        <f t="shared" si="4"/>
        <v>0.97352227872384767</v>
      </c>
      <c r="V59">
        <f t="shared" si="5"/>
        <v>7.8527649017980705E-2</v>
      </c>
    </row>
    <row r="60" spans="6:22" ht="49" customHeight="1" x14ac:dyDescent="0.2">
      <c r="F60" s="2">
        <v>18.57</v>
      </c>
      <c r="G60" s="2">
        <v>87.5</v>
      </c>
      <c r="H60" s="2">
        <v>2.4300000000000002</v>
      </c>
      <c r="I60">
        <f t="shared" si="0"/>
        <v>0.19674697115936771</v>
      </c>
      <c r="J60">
        <f t="shared" si="1"/>
        <v>0.44048324611567524</v>
      </c>
      <c r="L60">
        <v>0.75855687637884095</v>
      </c>
      <c r="M60" s="3">
        <v>90</v>
      </c>
      <c r="N60">
        <v>0.92460945378631798</v>
      </c>
      <c r="O60">
        <f t="shared" si="2"/>
        <v>0.97504661357803279</v>
      </c>
      <c r="P60">
        <f t="shared" si="3"/>
        <v>7.7647882905181764E-2</v>
      </c>
      <c r="R60" s="4">
        <v>0.923694786354052</v>
      </c>
      <c r="S60" s="3">
        <f t="shared" si="8"/>
        <v>171.85000000000002</v>
      </c>
      <c r="T60" s="4">
        <v>0.83755050550559595</v>
      </c>
      <c r="U60">
        <f t="shared" si="4"/>
        <v>0.97251095974286239</v>
      </c>
      <c r="V60">
        <f t="shared" si="5"/>
        <v>8.0836651855272057E-2</v>
      </c>
    </row>
    <row r="61" spans="6:22" ht="49" customHeight="1" x14ac:dyDescent="0.2">
      <c r="F61" s="2">
        <v>18.585000000000001</v>
      </c>
      <c r="G61" s="2">
        <v>100</v>
      </c>
      <c r="H61" s="2">
        <v>2.3239999999999998</v>
      </c>
      <c r="I61">
        <f t="shared" si="0"/>
        <v>0.21094211900907808</v>
      </c>
      <c r="J61">
        <f t="shared" si="1"/>
        <v>0.44068225265603084</v>
      </c>
      <c r="L61">
        <v>1.07667451952367</v>
      </c>
      <c r="M61" s="3">
        <v>90</v>
      </c>
      <c r="N61">
        <v>1.00366894073761</v>
      </c>
      <c r="O61">
        <f t="shared" si="2"/>
        <v>0.96181378464779899</v>
      </c>
      <c r="P61">
        <f t="shared" si="3"/>
        <v>0.10673557496433501</v>
      </c>
      <c r="R61" s="4">
        <v>0.96648164501072298</v>
      </c>
      <c r="S61" s="3">
        <f t="shared" si="8"/>
        <v>171.85000000000002</v>
      </c>
      <c r="T61" s="4">
        <v>0.83887725495143195</v>
      </c>
      <c r="U61">
        <f t="shared" si="4"/>
        <v>0.97121123152667332</v>
      </c>
      <c r="V61">
        <f t="shared" si="5"/>
        <v>8.4265590867572612E-2</v>
      </c>
    </row>
    <row r="62" spans="6:22" ht="49" customHeight="1" x14ac:dyDescent="0.2">
      <c r="L62">
        <v>1.4478311767433401</v>
      </c>
      <c r="M62" s="3">
        <v>90</v>
      </c>
      <c r="N62">
        <v>1.0926155420030801</v>
      </c>
      <c r="O62">
        <f t="shared" si="2"/>
        <v>0.94459788634745401</v>
      </c>
      <c r="P62">
        <f t="shared" si="3"/>
        <v>0.1384363148421888</v>
      </c>
      <c r="R62" s="4">
        <v>1.30304564868713</v>
      </c>
      <c r="S62" s="3">
        <f t="shared" si="8"/>
        <v>171.85000000000002</v>
      </c>
      <c r="T62" s="4">
        <v>0.908221809728054</v>
      </c>
      <c r="U62">
        <f t="shared" si="4"/>
        <v>0.95825694666221151</v>
      </c>
      <c r="V62">
        <f t="shared" si="5"/>
        <v>0.11037116074815538</v>
      </c>
    </row>
    <row r="63" spans="6:22" ht="49" customHeight="1" x14ac:dyDescent="0.2">
      <c r="L63">
        <v>1.78364789813049</v>
      </c>
      <c r="M63" s="3">
        <v>90</v>
      </c>
      <c r="N63">
        <v>1.1716812668813901</v>
      </c>
      <c r="O63">
        <f t="shared" si="2"/>
        <v>0.9274680344115811</v>
      </c>
      <c r="P63">
        <f t="shared" si="3"/>
        <v>0.16524009240777937</v>
      </c>
      <c r="R63" s="4">
        <v>1.34599470165258</v>
      </c>
      <c r="S63" s="3">
        <f t="shared" si="8"/>
        <v>171.85000000000002</v>
      </c>
      <c r="T63" s="4">
        <v>0.916376939573609</v>
      </c>
      <c r="U63">
        <f t="shared" si="4"/>
        <v>0.95653277304611539</v>
      </c>
      <c r="V63">
        <f t="shared" si="5"/>
        <v>0.11359580178071058</v>
      </c>
    </row>
    <row r="64" spans="6:22" ht="49" customHeight="1" x14ac:dyDescent="0.2">
      <c r="L64">
        <v>2.13695992547756</v>
      </c>
      <c r="M64" s="3">
        <v>90</v>
      </c>
      <c r="N64">
        <v>1.28529263155268</v>
      </c>
      <c r="O64">
        <f t="shared" si="2"/>
        <v>0.90577945910770097</v>
      </c>
      <c r="P64">
        <f t="shared" si="3"/>
        <v>0.19169699025754983</v>
      </c>
      <c r="R64" s="4">
        <v>1.79744634071618</v>
      </c>
      <c r="S64" s="3">
        <f t="shared" si="8"/>
        <v>171.85000000000002</v>
      </c>
      <c r="T64" s="4">
        <v>1.0224909441510901</v>
      </c>
      <c r="U64">
        <f t="shared" si="4"/>
        <v>0.93592707923524299</v>
      </c>
      <c r="V64">
        <f t="shared" si="5"/>
        <v>0.14612868751608066</v>
      </c>
    </row>
    <row r="65" spans="12:22" ht="49" customHeight="1" x14ac:dyDescent="0.2">
      <c r="L65">
        <v>2.5080583620451198</v>
      </c>
      <c r="M65" s="3">
        <v>90</v>
      </c>
      <c r="N65">
        <v>1.3841076333512801</v>
      </c>
      <c r="O65">
        <f t="shared" si="2"/>
        <v>0.88243179564000884</v>
      </c>
      <c r="P65">
        <f t="shared" si="3"/>
        <v>0.21773814246593415</v>
      </c>
      <c r="R65" s="4">
        <v>1.86909297338211</v>
      </c>
      <c r="S65" s="3">
        <f t="shared" si="8"/>
        <v>171.85000000000002</v>
      </c>
      <c r="T65" s="4">
        <v>1.0388141793869099</v>
      </c>
      <c r="U65">
        <f t="shared" si="4"/>
        <v>0.93243445967957794</v>
      </c>
      <c r="V65">
        <f t="shared" si="5"/>
        <v>0.1510734501559379</v>
      </c>
    </row>
    <row r="66" spans="12:22" ht="49" customHeight="1" x14ac:dyDescent="0.2">
      <c r="L66">
        <v>2.8259140122554398</v>
      </c>
      <c r="M66" s="3">
        <v>90</v>
      </c>
      <c r="N66">
        <v>1.5075749227016799</v>
      </c>
      <c r="O66">
        <f t="shared" si="2"/>
        <v>0.85770433040619187</v>
      </c>
      <c r="P66">
        <f t="shared" si="3"/>
        <v>0.23874480603363679</v>
      </c>
      <c r="R66" s="4">
        <v>2.22045991097335</v>
      </c>
      <c r="S66" s="3">
        <f t="shared" si="8"/>
        <v>171.85000000000002</v>
      </c>
      <c r="T66" s="4">
        <v>1.1313622519778701</v>
      </c>
      <c r="U66">
        <f t="shared" si="4"/>
        <v>0.91346390000342947</v>
      </c>
      <c r="V66">
        <f t="shared" si="5"/>
        <v>0.17451715203601517</v>
      </c>
    </row>
    <row r="67" spans="12:22" ht="49" customHeight="1" x14ac:dyDescent="0.2">
      <c r="L67">
        <v>3.2146824167392598</v>
      </c>
      <c r="M67" s="3">
        <v>90</v>
      </c>
      <c r="N67">
        <v>1.61133036269387</v>
      </c>
      <c r="O67">
        <f t="shared" si="2"/>
        <v>0.82975069528725753</v>
      </c>
      <c r="P67">
        <f t="shared" si="3"/>
        <v>0.26295293220916183</v>
      </c>
      <c r="R67" s="4">
        <v>2.7512353799852201</v>
      </c>
      <c r="S67" s="3">
        <f t="shared" si="8"/>
        <v>171.85000000000002</v>
      </c>
      <c r="T67" s="4">
        <v>1.2770094973778601</v>
      </c>
      <c r="U67">
        <f t="shared" si="4"/>
        <v>0.88109966451333432</v>
      </c>
      <c r="V67">
        <f t="shared" si="5"/>
        <v>0.20757424107991007</v>
      </c>
    </row>
    <row r="68" spans="12:22" ht="49" customHeight="1" x14ac:dyDescent="0.2">
      <c r="L68">
        <v>3.58580996363288</v>
      </c>
      <c r="M68" s="3">
        <v>90</v>
      </c>
      <c r="N68">
        <v>1.7052111642259</v>
      </c>
      <c r="O68">
        <f t="shared" si="2"/>
        <v>0.80227412752929417</v>
      </c>
      <c r="P68">
        <f t="shared" si="3"/>
        <v>0.28466846578115063</v>
      </c>
      <c r="R68" s="4">
        <v>2.8732487520048999</v>
      </c>
      <c r="S68" s="3">
        <f t="shared" si="8"/>
        <v>171.85000000000002</v>
      </c>
      <c r="T68" s="4">
        <v>1.31377245940637</v>
      </c>
      <c r="U68">
        <f t="shared" si="4"/>
        <v>0.87283901346494064</v>
      </c>
      <c r="V68">
        <f t="shared" si="5"/>
        <v>0.2148024727559793</v>
      </c>
    </row>
    <row r="69" spans="12:22" ht="49" customHeight="1" x14ac:dyDescent="0.2">
      <c r="L69">
        <v>3.86841300898885</v>
      </c>
      <c r="M69" s="3">
        <v>90</v>
      </c>
      <c r="N69">
        <v>1.8039949763894401</v>
      </c>
      <c r="O69">
        <f t="shared" si="2"/>
        <v>0.77768346717613468</v>
      </c>
      <c r="P69">
        <f t="shared" si="3"/>
        <v>0.3003648828129814</v>
      </c>
      <c r="R69" s="4">
        <v>2.9162951215556201</v>
      </c>
      <c r="S69" s="3">
        <f t="shared" si="8"/>
        <v>171.85000000000002</v>
      </c>
      <c r="T69" s="4">
        <v>1.32602461749176</v>
      </c>
      <c r="U69">
        <f t="shared" si="4"/>
        <v>0.86994168502185998</v>
      </c>
      <c r="V69">
        <f t="shared" si="5"/>
        <v>0.21732122896446859</v>
      </c>
    </row>
    <row r="70" spans="12:22" ht="49" customHeight="1" x14ac:dyDescent="0.2">
      <c r="L70">
        <v>4.2922593563706899</v>
      </c>
      <c r="M70" s="3">
        <v>90</v>
      </c>
      <c r="N70">
        <v>1.9620390951678901</v>
      </c>
      <c r="O70">
        <f t="shared" si="2"/>
        <v>0.73828473206631895</v>
      </c>
      <c r="P70">
        <f t="shared" si="3"/>
        <v>0.32265611024586127</v>
      </c>
      <c r="R70" s="4">
        <v>2.99516480743931</v>
      </c>
      <c r="S70" s="3">
        <f t="shared" si="8"/>
        <v>171.85000000000002</v>
      </c>
      <c r="T70" s="4">
        <v>1.3464383931950501</v>
      </c>
      <c r="U70">
        <f t="shared" si="4"/>
        <v>0.86476271970138141</v>
      </c>
      <c r="V70">
        <f t="shared" si="5"/>
        <v>0.22189441977377258</v>
      </c>
    </row>
    <row r="71" spans="12:22" ht="49" customHeight="1" x14ac:dyDescent="0.2">
      <c r="L71">
        <v>4.6986103977926001</v>
      </c>
      <c r="M71" s="3">
        <v>90</v>
      </c>
      <c r="N71">
        <v>2.0855375741533502</v>
      </c>
      <c r="O71">
        <f t="shared" si="2"/>
        <v>0.70253635039172568</v>
      </c>
      <c r="P71">
        <f t="shared" si="3"/>
        <v>0.34273303178869974</v>
      </c>
      <c r="R71" s="4">
        <v>3.1675124799509802</v>
      </c>
      <c r="S71" s="3">
        <f t="shared" si="8"/>
        <v>171.85000000000002</v>
      </c>
      <c r="T71" s="4">
        <v>1.4022754059363101</v>
      </c>
      <c r="U71">
        <f t="shared" si="4"/>
        <v>0.85211539441075335</v>
      </c>
      <c r="V71">
        <f t="shared" si="5"/>
        <v>0.23170420581159232</v>
      </c>
    </row>
    <row r="72" spans="12:22" ht="49" customHeight="1" x14ac:dyDescent="0.2">
      <c r="L72">
        <v>5.3525447623245803</v>
      </c>
      <c r="M72" s="3">
        <v>90</v>
      </c>
      <c r="N72">
        <v>2.2436627859829601</v>
      </c>
      <c r="O72">
        <f t="shared" si="2"/>
        <v>0.64876170426658364</v>
      </c>
      <c r="P72">
        <f t="shared" si="3"/>
        <v>0.37265743137986101</v>
      </c>
      <c r="R72" s="4">
        <v>3.4043486096343401</v>
      </c>
      <c r="S72" s="3">
        <f t="shared" si="8"/>
        <v>171.85000000000002</v>
      </c>
      <c r="T72" s="4">
        <v>1.4730764656058</v>
      </c>
      <c r="U72">
        <f t="shared" si="4"/>
        <v>0.83469964138166763</v>
      </c>
      <c r="V72">
        <f t="shared" si="5"/>
        <v>0.24478796197175162</v>
      </c>
    </row>
    <row r="73" spans="12:22" ht="49" customHeight="1" x14ac:dyDescent="0.2">
      <c r="L73">
        <v>5.9182166182534202</v>
      </c>
      <c r="M73" s="3">
        <v>90</v>
      </c>
      <c r="N73">
        <v>2.3622832060449599</v>
      </c>
      <c r="O73">
        <f t="shared" ref="O73:O82" si="9">EXP(-2*L73*N73/55.51)</f>
        <v>0.60428388853490789</v>
      </c>
      <c r="P73">
        <f t="shared" ref="P73:P82" si="10">$L$2*L73/(1+$L$2*L73)</f>
        <v>0.39642818766391685</v>
      </c>
      <c r="R73" s="4">
        <v>3.4689668222530599</v>
      </c>
      <c r="S73" s="3">
        <f t="shared" si="8"/>
        <v>171.85000000000002</v>
      </c>
      <c r="T73" s="4">
        <v>1.4935032168537901</v>
      </c>
      <c r="U73">
        <f t="shared" ref="U73:U89" si="11">EXP(-2*R73*T73/55.51)</f>
        <v>0.82972086833568726</v>
      </c>
      <c r="V73">
        <f t="shared" ref="V73:V89" si="12">$R$2*R73/(1+$R$2*R73)</f>
        <v>0.24828070527908955</v>
      </c>
    </row>
    <row r="74" spans="12:22" ht="49" customHeight="1" x14ac:dyDescent="0.2">
      <c r="L74">
        <v>6.3603151400726503</v>
      </c>
      <c r="M74" s="3">
        <v>90</v>
      </c>
      <c r="N74">
        <v>2.4265837576856399</v>
      </c>
      <c r="O74">
        <f t="shared" si="9"/>
        <v>0.573455965362484</v>
      </c>
      <c r="P74">
        <f t="shared" si="10"/>
        <v>0.41378809360389263</v>
      </c>
      <c r="R74" s="4">
        <v>3.5407432103660201</v>
      </c>
      <c r="S74" s="3">
        <f t="shared" si="8"/>
        <v>171.85000000000002</v>
      </c>
      <c r="T74" s="4">
        <v>1.51528915640938</v>
      </c>
      <c r="U74">
        <f t="shared" si="11"/>
        <v>0.82422848105347779</v>
      </c>
      <c r="V74">
        <f t="shared" si="12"/>
        <v>0.25212268250416098</v>
      </c>
    </row>
    <row r="75" spans="12:22" ht="49" customHeight="1" x14ac:dyDescent="0.2">
      <c r="L75">
        <v>6.9617053660727404</v>
      </c>
      <c r="M75" s="3">
        <v>90</v>
      </c>
      <c r="N75">
        <v>2.4909404506694299</v>
      </c>
      <c r="O75">
        <f t="shared" si="9"/>
        <v>0.53537100870340826</v>
      </c>
      <c r="P75">
        <f t="shared" si="10"/>
        <v>0.43586013545545493</v>
      </c>
      <c r="R75" s="4">
        <v>3.5622501757105001</v>
      </c>
      <c r="S75" s="3">
        <f t="shared" si="8"/>
        <v>171.85000000000002</v>
      </c>
      <c r="T75" s="4">
        <v>1.5207323974121001</v>
      </c>
      <c r="U75">
        <f t="shared" si="11"/>
        <v>0.82268631364745826</v>
      </c>
      <c r="V75">
        <f t="shared" si="12"/>
        <v>0.25326625158090754</v>
      </c>
    </row>
    <row r="76" spans="12:22" ht="49" customHeight="1" x14ac:dyDescent="0.2">
      <c r="L76">
        <v>7.5280176491748199</v>
      </c>
      <c r="M76" s="3">
        <v>90</v>
      </c>
      <c r="N76">
        <v>2.5010084648669499</v>
      </c>
      <c r="O76">
        <f t="shared" si="9"/>
        <v>0.50745302240157308</v>
      </c>
      <c r="P76">
        <f t="shared" si="10"/>
        <v>0.45517727022165905</v>
      </c>
      <c r="R76" s="4">
        <v>0.79367982843446405</v>
      </c>
      <c r="S76" s="3">
        <f>474-273.15</f>
        <v>200.85000000000002</v>
      </c>
      <c r="T76" s="4">
        <v>0.76392077709095496</v>
      </c>
      <c r="U76">
        <f t="shared" si="11"/>
        <v>0.9783918551342754</v>
      </c>
      <c r="V76">
        <f t="shared" si="12"/>
        <v>7.0257870148477661E-2</v>
      </c>
    </row>
    <row r="77" spans="12:22" ht="49" customHeight="1" x14ac:dyDescent="0.2">
      <c r="L77">
        <v>8.1653009072025107</v>
      </c>
      <c r="M77" s="3">
        <v>90</v>
      </c>
      <c r="N77">
        <v>2.48149622917312</v>
      </c>
      <c r="O77">
        <f t="shared" si="9"/>
        <v>0.48189139459050812</v>
      </c>
      <c r="P77">
        <f t="shared" si="10"/>
        <v>0.47539197384859716</v>
      </c>
      <c r="R77" s="4">
        <v>0.82231253041143304</v>
      </c>
      <c r="S77" s="3">
        <f t="shared" ref="S77:S89" si="13">474-273.15</f>
        <v>200.85000000000002</v>
      </c>
      <c r="T77" s="4">
        <v>0.76935753032132503</v>
      </c>
      <c r="U77">
        <f t="shared" si="11"/>
        <v>0.97746364915863027</v>
      </c>
      <c r="V77">
        <f t="shared" si="12"/>
        <v>7.2608450516094353E-2</v>
      </c>
    </row>
    <row r="78" spans="12:22" ht="49" customHeight="1" x14ac:dyDescent="0.2">
      <c r="L78">
        <v>8.7495451511553597</v>
      </c>
      <c r="M78" s="3">
        <v>90</v>
      </c>
      <c r="N78">
        <v>2.4520968791651101</v>
      </c>
      <c r="O78">
        <f t="shared" si="9"/>
        <v>0.4616241586470482</v>
      </c>
      <c r="P78">
        <f t="shared" si="10"/>
        <v>0.49264964011916207</v>
      </c>
      <c r="R78" s="4">
        <v>1.3299266521292501</v>
      </c>
      <c r="S78" s="3">
        <f t="shared" si="13"/>
        <v>200.85000000000002</v>
      </c>
      <c r="T78" s="4">
        <v>0.83991205464146002</v>
      </c>
      <c r="U78">
        <f t="shared" si="11"/>
        <v>0.96055333215859173</v>
      </c>
      <c r="V78">
        <f t="shared" si="12"/>
        <v>0.11239214343846027</v>
      </c>
    </row>
    <row r="79" spans="12:22" ht="49" customHeight="1" x14ac:dyDescent="0.2">
      <c r="L79">
        <v>9.3869157401612195</v>
      </c>
      <c r="M79" s="3">
        <v>90</v>
      </c>
      <c r="N79">
        <v>2.4177820426715799</v>
      </c>
      <c r="O79">
        <f t="shared" si="9"/>
        <v>0.44144179215699092</v>
      </c>
      <c r="P79">
        <f t="shared" si="10"/>
        <v>0.51022644941313255</v>
      </c>
      <c r="R79" s="4">
        <v>1.3514011786119799</v>
      </c>
      <c r="S79" s="3">
        <f t="shared" si="13"/>
        <v>200.85000000000002</v>
      </c>
      <c r="T79" s="4">
        <v>0.84398961956423801</v>
      </c>
      <c r="U79">
        <f t="shared" si="11"/>
        <v>0.95973875130383024</v>
      </c>
      <c r="V79">
        <f t="shared" si="12"/>
        <v>0.1140000675561722</v>
      </c>
    </row>
    <row r="80" spans="12:22" ht="49" customHeight="1" x14ac:dyDescent="0.2">
      <c r="L80">
        <v>10.095053531810301</v>
      </c>
      <c r="M80" s="3">
        <v>90</v>
      </c>
      <c r="N80">
        <v>2.3884263581526501</v>
      </c>
      <c r="O80">
        <f t="shared" si="9"/>
        <v>0.41948862905539791</v>
      </c>
      <c r="P80">
        <f t="shared" si="10"/>
        <v>0.52837953531127146</v>
      </c>
      <c r="R80" s="4">
        <v>1.9385986411721201</v>
      </c>
      <c r="S80" s="3">
        <f t="shared" si="13"/>
        <v>200.85000000000002</v>
      </c>
      <c r="T80" s="4">
        <v>0.96500279334642902</v>
      </c>
      <c r="U80">
        <f t="shared" si="11"/>
        <v>0.93481897160677541</v>
      </c>
      <c r="V80">
        <f t="shared" si="12"/>
        <v>0.1558160290551209</v>
      </c>
    </row>
    <row r="81" spans="12:22" ht="49" customHeight="1" x14ac:dyDescent="0.2">
      <c r="L81">
        <v>10.6792686654371</v>
      </c>
      <c r="M81" s="3">
        <v>90</v>
      </c>
      <c r="N81">
        <v>2.36396120841122</v>
      </c>
      <c r="O81">
        <f t="shared" si="9"/>
        <v>0.40269355244769961</v>
      </c>
      <c r="P81">
        <f t="shared" si="10"/>
        <v>0.54237289210036244</v>
      </c>
      <c r="R81" s="4">
        <v>2.3756366126619701</v>
      </c>
      <c r="S81" s="3">
        <f t="shared" si="13"/>
        <v>200.85000000000002</v>
      </c>
      <c r="T81" s="4">
        <v>1.0643013930689</v>
      </c>
      <c r="U81">
        <f t="shared" si="11"/>
        <v>0.91292928005690943</v>
      </c>
      <c r="V81">
        <f t="shared" si="12"/>
        <v>0.18446353284176228</v>
      </c>
    </row>
    <row r="82" spans="12:22" ht="49" customHeight="1" x14ac:dyDescent="0.2">
      <c r="L82">
        <v>11.033395781913701</v>
      </c>
      <c r="M82" s="3">
        <v>90</v>
      </c>
      <c r="N82">
        <v>2.3394149656186198</v>
      </c>
      <c r="O82">
        <f t="shared" si="9"/>
        <v>0.39456023234215326</v>
      </c>
      <c r="P82">
        <f t="shared" si="10"/>
        <v>0.55045800181421523</v>
      </c>
      <c r="R82" s="4">
        <v>2.5549478274973398</v>
      </c>
      <c r="S82" s="3">
        <f t="shared" si="13"/>
        <v>200.85000000000002</v>
      </c>
      <c r="T82" s="4">
        <v>1.11330353763809</v>
      </c>
      <c r="U82">
        <f t="shared" si="11"/>
        <v>0.90259294770613241</v>
      </c>
      <c r="V82">
        <f t="shared" si="12"/>
        <v>0.19566245704229124</v>
      </c>
    </row>
    <row r="83" spans="12:22" ht="49" customHeight="1" x14ac:dyDescent="0.2">
      <c r="R83" s="4">
        <v>2.6123105480365498</v>
      </c>
      <c r="S83" s="3">
        <f t="shared" si="13"/>
        <v>200.85000000000002</v>
      </c>
      <c r="T83" s="4">
        <v>1.12827407233866</v>
      </c>
      <c r="U83">
        <f t="shared" si="11"/>
        <v>0.89925057220937721</v>
      </c>
      <c r="V83">
        <f t="shared" si="12"/>
        <v>0.19918040893447955</v>
      </c>
    </row>
    <row r="84" spans="12:22" ht="49" customHeight="1" x14ac:dyDescent="0.2">
      <c r="R84" s="4">
        <v>2.6338175133810302</v>
      </c>
      <c r="S84" s="3">
        <f t="shared" si="13"/>
        <v>200.85000000000002</v>
      </c>
      <c r="T84" s="4">
        <v>1.13371731334138</v>
      </c>
      <c r="U84">
        <f t="shared" si="11"/>
        <v>0.89800074439134525</v>
      </c>
      <c r="V84">
        <f t="shared" si="12"/>
        <v>0.20049147341232598</v>
      </c>
    </row>
    <row r="85" spans="12:22" ht="49" customHeight="1" x14ac:dyDescent="0.2">
      <c r="R85" s="4">
        <v>2.83450593811386</v>
      </c>
      <c r="S85" s="3">
        <f t="shared" si="13"/>
        <v>200.85000000000002</v>
      </c>
      <c r="T85" s="4">
        <v>1.1826999945935199</v>
      </c>
      <c r="U85">
        <f t="shared" si="11"/>
        <v>0.88622503670686259</v>
      </c>
      <c r="V85">
        <f t="shared" si="12"/>
        <v>0.21252162737539076</v>
      </c>
    </row>
    <row r="86" spans="12:22" ht="49" customHeight="1" x14ac:dyDescent="0.2">
      <c r="R86" s="4">
        <v>2.8560129034583399</v>
      </c>
      <c r="S86" s="3">
        <f t="shared" si="13"/>
        <v>200.85000000000002</v>
      </c>
      <c r="T86" s="4">
        <v>1.18814323559624</v>
      </c>
      <c r="U86">
        <f t="shared" si="11"/>
        <v>0.88491742730784551</v>
      </c>
      <c r="V86">
        <f t="shared" si="12"/>
        <v>0.21378940705929347</v>
      </c>
    </row>
    <row r="87" spans="12:22" ht="49" customHeight="1" x14ac:dyDescent="0.2">
      <c r="R87" s="4">
        <v>3.17155652471661</v>
      </c>
      <c r="S87" s="3">
        <f t="shared" si="13"/>
        <v>200.85000000000002</v>
      </c>
      <c r="T87" s="4">
        <v>1.2725296905693</v>
      </c>
      <c r="U87">
        <f t="shared" si="11"/>
        <v>0.86466629562700958</v>
      </c>
      <c r="V87">
        <f t="shared" si="12"/>
        <v>0.23193141795431338</v>
      </c>
    </row>
    <row r="88" spans="12:22" ht="49" customHeight="1" x14ac:dyDescent="0.2">
      <c r="R88" s="4">
        <v>3.2145380165438202</v>
      </c>
      <c r="S88" s="3">
        <f t="shared" si="13"/>
        <v>200.85000000000002</v>
      </c>
      <c r="T88" s="4">
        <v>1.2820504964948001</v>
      </c>
      <c r="U88">
        <f t="shared" si="11"/>
        <v>0.86201297189371773</v>
      </c>
      <c r="V88">
        <f t="shared" si="12"/>
        <v>0.23433802780518467</v>
      </c>
    </row>
    <row r="89" spans="12:22" ht="49" customHeight="1" x14ac:dyDescent="0.2">
      <c r="R89" s="4">
        <v>3.5229234623078498</v>
      </c>
      <c r="S89" s="3">
        <f t="shared" si="13"/>
        <v>200.85000000000002</v>
      </c>
      <c r="T89" s="4">
        <v>1.36507776316027</v>
      </c>
      <c r="U89">
        <f t="shared" si="11"/>
        <v>0.84091188266067296</v>
      </c>
      <c r="V89">
        <f t="shared" si="12"/>
        <v>0.25117251357454207</v>
      </c>
    </row>
    <row r="90" spans="12:22" ht="49" customHeight="1" x14ac:dyDescent="0.2"/>
    <row r="91" spans="12:22" ht="49" customHeight="1" x14ac:dyDescent="0.2"/>
    <row r="92" spans="12:22" ht="49" customHeight="1" x14ac:dyDescent="0.2"/>
    <row r="93" spans="12:22" ht="49" customHeight="1" x14ac:dyDescent="0.2"/>
    <row r="94" spans="12:22" ht="49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Drysdale</dc:creator>
  <cp:lastModifiedBy>Clara Drysdale</cp:lastModifiedBy>
  <dcterms:created xsi:type="dcterms:W3CDTF">2026-02-23T03:49:44Z</dcterms:created>
  <dcterms:modified xsi:type="dcterms:W3CDTF">2026-02-23T06:33:58Z</dcterms:modified>
</cp:coreProperties>
</file>