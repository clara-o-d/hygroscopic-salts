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/Downloads/RE_ ML for AWH Discussion/data/"/>
    </mc:Choice>
  </mc:AlternateContent>
  <xr:revisionPtr revIDLastSave="0" documentId="13_ncr:1_{318B874E-5ED1-504A-9E82-B533D2A50C6E}" xr6:coauthVersionLast="47" xr6:coauthVersionMax="47" xr10:uidLastSave="{00000000-0000-0000-0000-000000000000}"/>
  <bookViews>
    <workbookView xWindow="13620" yWindow="820" windowWidth="15520" windowHeight="17440" xr2:uid="{D5FDA488-7532-B24B-992D-150A171FC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7" i="1" l="1"/>
  <c r="EK7" i="1"/>
  <c r="EJ8" i="1"/>
  <c r="EK8" i="1"/>
  <c r="EJ9" i="1"/>
  <c r="EK9" i="1"/>
  <c r="EJ10" i="1"/>
  <c r="EK10" i="1"/>
  <c r="EJ11" i="1"/>
  <c r="EK11" i="1"/>
  <c r="EJ12" i="1"/>
  <c r="EK12" i="1"/>
  <c r="EJ13" i="1"/>
  <c r="EK13" i="1"/>
  <c r="EJ14" i="1"/>
  <c r="EK14" i="1"/>
  <c r="EJ15" i="1"/>
  <c r="EK15" i="1"/>
  <c r="EJ16" i="1"/>
  <c r="EK16" i="1"/>
  <c r="EJ17" i="1"/>
  <c r="EK17" i="1"/>
  <c r="EJ18" i="1"/>
  <c r="EK18" i="1"/>
  <c r="EJ19" i="1"/>
  <c r="EK19" i="1"/>
  <c r="EJ20" i="1"/>
  <c r="EK20" i="1"/>
  <c r="EJ21" i="1"/>
  <c r="EK21" i="1"/>
  <c r="EJ22" i="1"/>
  <c r="EK22" i="1"/>
  <c r="EJ23" i="1"/>
  <c r="EK23" i="1"/>
  <c r="EJ24" i="1"/>
  <c r="EK24" i="1"/>
  <c r="EJ25" i="1"/>
  <c r="EK25" i="1"/>
  <c r="EJ26" i="1"/>
  <c r="EK26" i="1"/>
  <c r="EK6" i="1"/>
  <c r="EJ6" i="1"/>
  <c r="EI3" i="1"/>
  <c r="EH3" i="1"/>
  <c r="ED7" i="1"/>
  <c r="EE7" i="1"/>
  <c r="ED8" i="1"/>
  <c r="EE8" i="1"/>
  <c r="ED9" i="1"/>
  <c r="EE9" i="1"/>
  <c r="ED10" i="1"/>
  <c r="EE10" i="1"/>
  <c r="ED11" i="1"/>
  <c r="EE11" i="1"/>
  <c r="ED12" i="1"/>
  <c r="EE12" i="1"/>
  <c r="ED13" i="1"/>
  <c r="EE13" i="1"/>
  <c r="ED14" i="1"/>
  <c r="EE14" i="1"/>
  <c r="ED15" i="1"/>
  <c r="EE15" i="1"/>
  <c r="ED16" i="1"/>
  <c r="EE16" i="1"/>
  <c r="ED17" i="1"/>
  <c r="EE17" i="1"/>
  <c r="ED18" i="1"/>
  <c r="EE18" i="1"/>
  <c r="ED19" i="1"/>
  <c r="EE19" i="1"/>
  <c r="ED20" i="1"/>
  <c r="EE20" i="1"/>
  <c r="ED21" i="1"/>
  <c r="EE21" i="1"/>
  <c r="ED22" i="1"/>
  <c r="EE22" i="1"/>
  <c r="ED23" i="1"/>
  <c r="EE23" i="1"/>
  <c r="ED24" i="1"/>
  <c r="EE24" i="1"/>
  <c r="ED25" i="1"/>
  <c r="EE25" i="1"/>
  <c r="ED26" i="1"/>
  <c r="EE26" i="1"/>
  <c r="ED27" i="1"/>
  <c r="EE27" i="1"/>
  <c r="ED28" i="1"/>
  <c r="EE28" i="1"/>
  <c r="ED29" i="1"/>
  <c r="EE29" i="1"/>
  <c r="ED30" i="1"/>
  <c r="EE30" i="1"/>
  <c r="ED31" i="1"/>
  <c r="EE31" i="1"/>
  <c r="ED32" i="1"/>
  <c r="EE32" i="1"/>
  <c r="ED33" i="1"/>
  <c r="EE33" i="1"/>
  <c r="ED34" i="1"/>
  <c r="EE34" i="1"/>
  <c r="ED35" i="1"/>
  <c r="EE35" i="1"/>
  <c r="ED36" i="1"/>
  <c r="EE36" i="1"/>
  <c r="ED37" i="1"/>
  <c r="EE37" i="1"/>
  <c r="ED38" i="1"/>
  <c r="EE38" i="1"/>
  <c r="ED39" i="1"/>
  <c r="EE39" i="1"/>
  <c r="ED40" i="1"/>
  <c r="EE40" i="1"/>
  <c r="ED41" i="1"/>
  <c r="EE41" i="1"/>
  <c r="DX7" i="1"/>
  <c r="DY7" i="1"/>
  <c r="DX8" i="1"/>
  <c r="DY8" i="1"/>
  <c r="DX9" i="1"/>
  <c r="DY9" i="1"/>
  <c r="DX10" i="1"/>
  <c r="DY10" i="1"/>
  <c r="DX11" i="1"/>
  <c r="DY11" i="1"/>
  <c r="DX12" i="1"/>
  <c r="DY12" i="1"/>
  <c r="DX13" i="1"/>
  <c r="DY13" i="1"/>
  <c r="DX14" i="1"/>
  <c r="DY14" i="1"/>
  <c r="DX15" i="1"/>
  <c r="DY15" i="1"/>
  <c r="DX16" i="1"/>
  <c r="DY16" i="1"/>
  <c r="DX17" i="1"/>
  <c r="DY17" i="1"/>
  <c r="DX18" i="1"/>
  <c r="DY18" i="1"/>
  <c r="DX19" i="1"/>
  <c r="DY19" i="1"/>
  <c r="DX20" i="1"/>
  <c r="DY20" i="1"/>
  <c r="DX21" i="1"/>
  <c r="DY21" i="1"/>
  <c r="DX22" i="1"/>
  <c r="DY22" i="1"/>
  <c r="DX23" i="1"/>
  <c r="DY23" i="1"/>
  <c r="DX24" i="1"/>
  <c r="DY24" i="1"/>
  <c r="DX25" i="1"/>
  <c r="DY25" i="1"/>
  <c r="DX26" i="1"/>
  <c r="DY26" i="1"/>
  <c r="DX27" i="1"/>
  <c r="DY27" i="1"/>
  <c r="DX28" i="1"/>
  <c r="DY28" i="1"/>
  <c r="DX29" i="1"/>
  <c r="DY29" i="1"/>
  <c r="DX30" i="1"/>
  <c r="DY30" i="1"/>
  <c r="DX31" i="1"/>
  <c r="DY31" i="1"/>
  <c r="DX32" i="1"/>
  <c r="DY32" i="1"/>
  <c r="DX33" i="1"/>
  <c r="DY33" i="1"/>
  <c r="DX34" i="1"/>
  <c r="DY34" i="1"/>
  <c r="DX35" i="1"/>
  <c r="DY35" i="1"/>
  <c r="DX36" i="1"/>
  <c r="DY36" i="1"/>
  <c r="DX37" i="1"/>
  <c r="DY37" i="1"/>
  <c r="ED6" i="1"/>
  <c r="EC3" i="1"/>
  <c r="EE6" i="1" s="1"/>
  <c r="EB3" i="1"/>
  <c r="DY6" i="1"/>
  <c r="DX6" i="1"/>
  <c r="DV3" i="1"/>
  <c r="DW3" i="1"/>
  <c r="DR7" i="1"/>
  <c r="DS7" i="1"/>
  <c r="DR8" i="1"/>
  <c r="DS8" i="1"/>
  <c r="DR9" i="1"/>
  <c r="DS9" i="1"/>
  <c r="DR10" i="1"/>
  <c r="DS10" i="1"/>
  <c r="DR11" i="1"/>
  <c r="DS11" i="1"/>
  <c r="DR12" i="1"/>
  <c r="DS12" i="1"/>
  <c r="DR13" i="1"/>
  <c r="DS13" i="1"/>
  <c r="DR14" i="1"/>
  <c r="DS14" i="1"/>
  <c r="DR15" i="1"/>
  <c r="DS15" i="1"/>
  <c r="DR16" i="1"/>
  <c r="DS16" i="1"/>
  <c r="DR17" i="1"/>
  <c r="DS17" i="1"/>
  <c r="DR18" i="1"/>
  <c r="DS18" i="1"/>
  <c r="DR19" i="1"/>
  <c r="DS19" i="1"/>
  <c r="DR20" i="1"/>
  <c r="DS20" i="1"/>
  <c r="DR21" i="1"/>
  <c r="DS21" i="1"/>
  <c r="DR22" i="1"/>
  <c r="DS22" i="1"/>
  <c r="DR23" i="1"/>
  <c r="DS23" i="1"/>
  <c r="DR24" i="1"/>
  <c r="DS24" i="1"/>
  <c r="DR25" i="1"/>
  <c r="DS25" i="1"/>
  <c r="DR26" i="1"/>
  <c r="DS26" i="1"/>
  <c r="DR27" i="1"/>
  <c r="DS27" i="1"/>
  <c r="DR28" i="1"/>
  <c r="DS28" i="1"/>
  <c r="DR29" i="1"/>
  <c r="DS29" i="1"/>
  <c r="DR30" i="1"/>
  <c r="DS30" i="1"/>
  <c r="DR31" i="1"/>
  <c r="DS31" i="1"/>
  <c r="DR32" i="1"/>
  <c r="DS32" i="1"/>
  <c r="DR33" i="1"/>
  <c r="DS33" i="1"/>
  <c r="DR34" i="1"/>
  <c r="DS34" i="1"/>
  <c r="DR35" i="1"/>
  <c r="DS35" i="1"/>
  <c r="DR36" i="1"/>
  <c r="DS36" i="1"/>
  <c r="DR37" i="1"/>
  <c r="DS37" i="1"/>
  <c r="DR38" i="1"/>
  <c r="DS38" i="1"/>
  <c r="DR39" i="1"/>
  <c r="DS39" i="1"/>
  <c r="DR40" i="1"/>
  <c r="DS40" i="1"/>
  <c r="DR41" i="1"/>
  <c r="DS41" i="1"/>
  <c r="DR42" i="1"/>
  <c r="DS42" i="1"/>
  <c r="DR43" i="1"/>
  <c r="DS43" i="1"/>
  <c r="DR44" i="1"/>
  <c r="DS44" i="1"/>
  <c r="DR45" i="1"/>
  <c r="DS45" i="1"/>
  <c r="DS6" i="1"/>
  <c r="DR6" i="1"/>
  <c r="DQ3" i="1"/>
  <c r="DP3" i="1"/>
  <c r="DL7" i="1"/>
  <c r="DM7" i="1"/>
  <c r="DL8" i="1"/>
  <c r="DM8" i="1"/>
  <c r="DL9" i="1"/>
  <c r="DM9" i="1"/>
  <c r="DL10" i="1"/>
  <c r="DM10" i="1"/>
  <c r="DL11" i="1"/>
  <c r="DM11" i="1"/>
  <c r="DL12" i="1"/>
  <c r="DM12" i="1"/>
  <c r="DL13" i="1"/>
  <c r="DM13" i="1"/>
  <c r="DL14" i="1"/>
  <c r="DM14" i="1"/>
  <c r="DL15" i="1"/>
  <c r="DM15" i="1"/>
  <c r="DL16" i="1"/>
  <c r="DM16" i="1"/>
  <c r="DL17" i="1"/>
  <c r="DM17" i="1"/>
  <c r="DL18" i="1"/>
  <c r="DM18" i="1"/>
  <c r="DL19" i="1"/>
  <c r="DM19" i="1"/>
  <c r="DL20" i="1"/>
  <c r="DM20" i="1"/>
  <c r="DL21" i="1"/>
  <c r="DM21" i="1"/>
  <c r="DL22" i="1"/>
  <c r="DM22" i="1"/>
  <c r="DL23" i="1"/>
  <c r="DM23" i="1"/>
  <c r="DL24" i="1"/>
  <c r="DM24" i="1"/>
  <c r="DL25" i="1"/>
  <c r="DM25" i="1"/>
  <c r="DL26" i="1"/>
  <c r="DM26" i="1"/>
  <c r="DL27" i="1"/>
  <c r="DM27" i="1"/>
  <c r="DL28" i="1"/>
  <c r="DM28" i="1"/>
  <c r="DL29" i="1"/>
  <c r="DM29" i="1"/>
  <c r="DL30" i="1"/>
  <c r="DM30" i="1"/>
  <c r="DL31" i="1"/>
  <c r="DM31" i="1"/>
  <c r="DL32" i="1"/>
  <c r="DM32" i="1"/>
  <c r="DL33" i="1"/>
  <c r="DM33" i="1"/>
  <c r="DL34" i="1"/>
  <c r="DM34" i="1"/>
  <c r="DL35" i="1"/>
  <c r="DM35" i="1"/>
  <c r="DL36" i="1"/>
  <c r="DM36" i="1"/>
  <c r="DL37" i="1"/>
  <c r="DM37" i="1"/>
  <c r="DL38" i="1"/>
  <c r="DM38" i="1"/>
  <c r="DL39" i="1"/>
  <c r="DM39" i="1"/>
  <c r="DL40" i="1"/>
  <c r="DM40" i="1"/>
  <c r="DL41" i="1"/>
  <c r="DM41" i="1"/>
  <c r="DL42" i="1"/>
  <c r="DM42" i="1"/>
  <c r="DL43" i="1"/>
  <c r="DM43" i="1"/>
  <c r="DL44" i="1"/>
  <c r="DM44" i="1"/>
  <c r="DL45" i="1"/>
  <c r="DM45" i="1"/>
  <c r="DL46" i="1"/>
  <c r="DM46" i="1"/>
  <c r="DL47" i="1"/>
  <c r="DM47" i="1"/>
  <c r="DL48" i="1"/>
  <c r="DM48" i="1"/>
  <c r="DL6" i="1"/>
  <c r="DM6" i="1"/>
  <c r="DK3" i="1"/>
  <c r="DJ3" i="1"/>
  <c r="DF7" i="1"/>
  <c r="DG7" i="1"/>
  <c r="DF8" i="1"/>
  <c r="DG8" i="1"/>
  <c r="DF9" i="1"/>
  <c r="DG9" i="1"/>
  <c r="DF10" i="1"/>
  <c r="DG10" i="1"/>
  <c r="DF11" i="1"/>
  <c r="DG11" i="1"/>
  <c r="DF12" i="1"/>
  <c r="DG12" i="1"/>
  <c r="DF13" i="1"/>
  <c r="DG13" i="1"/>
  <c r="DF14" i="1"/>
  <c r="DG14" i="1"/>
  <c r="DF15" i="1"/>
  <c r="DG15" i="1"/>
  <c r="DF16" i="1"/>
  <c r="DG16" i="1"/>
  <c r="DF17" i="1"/>
  <c r="DG17" i="1"/>
  <c r="DF18" i="1"/>
  <c r="DG18" i="1"/>
  <c r="DF19" i="1"/>
  <c r="DG19" i="1"/>
  <c r="DF20" i="1"/>
  <c r="DG20" i="1"/>
  <c r="DF21" i="1"/>
  <c r="DG21" i="1"/>
  <c r="DF22" i="1"/>
  <c r="DG22" i="1"/>
  <c r="DF23" i="1"/>
  <c r="DG23" i="1"/>
  <c r="DF24" i="1"/>
  <c r="DG24" i="1"/>
  <c r="DF25" i="1"/>
  <c r="DG25" i="1"/>
  <c r="DF26" i="1"/>
  <c r="DG26" i="1"/>
  <c r="DF27" i="1"/>
  <c r="DG27" i="1"/>
  <c r="DF28" i="1"/>
  <c r="DG28" i="1"/>
  <c r="DF29" i="1"/>
  <c r="DG29" i="1"/>
  <c r="DF30" i="1"/>
  <c r="DG30" i="1"/>
  <c r="DF31" i="1"/>
  <c r="DG31" i="1"/>
  <c r="DF32" i="1"/>
  <c r="DG32" i="1"/>
  <c r="DF33" i="1"/>
  <c r="DG33" i="1"/>
  <c r="DF34" i="1"/>
  <c r="DG34" i="1"/>
  <c r="DF35" i="1"/>
  <c r="DG35" i="1"/>
  <c r="DF36" i="1"/>
  <c r="DG36" i="1"/>
  <c r="DF37" i="1"/>
  <c r="DG37" i="1"/>
  <c r="DF38" i="1"/>
  <c r="DG38" i="1"/>
  <c r="DF39" i="1"/>
  <c r="DG39" i="1"/>
  <c r="DF40" i="1"/>
  <c r="DG40" i="1"/>
  <c r="DF41" i="1"/>
  <c r="DG41" i="1"/>
  <c r="DF42" i="1"/>
  <c r="DG42" i="1"/>
  <c r="DF43" i="1"/>
  <c r="DG43" i="1"/>
  <c r="DF44" i="1"/>
  <c r="DG44" i="1"/>
  <c r="DF45" i="1"/>
  <c r="DG45" i="1"/>
  <c r="DF46" i="1"/>
  <c r="DG46" i="1"/>
  <c r="DF47" i="1"/>
  <c r="DG47" i="1"/>
  <c r="DF48" i="1"/>
  <c r="DG48" i="1"/>
  <c r="DF49" i="1"/>
  <c r="DG49" i="1"/>
  <c r="DF50" i="1"/>
  <c r="DG50" i="1"/>
  <c r="DE3" i="1"/>
  <c r="DG6" i="1" s="1"/>
  <c r="DD3" i="1"/>
  <c r="DF6" i="1" s="1"/>
  <c r="DA8" i="1"/>
  <c r="CZ9" i="1"/>
  <c r="DA9" i="1"/>
  <c r="DA14" i="1"/>
  <c r="CZ15" i="1"/>
  <c r="DA15" i="1"/>
  <c r="CY3" i="1"/>
  <c r="DA11" i="1" s="1"/>
  <c r="CX3" i="1"/>
  <c r="CZ11" i="1" s="1"/>
  <c r="CT13" i="1"/>
  <c r="CS3" i="1"/>
  <c r="CU17" i="1" s="1"/>
  <c r="CR3" i="1"/>
  <c r="CT9" i="1" s="1"/>
  <c r="CN7" i="1"/>
  <c r="CO7" i="1"/>
  <c r="CO8" i="1"/>
  <c r="CO9" i="1"/>
  <c r="CN10" i="1"/>
  <c r="CO10" i="1"/>
  <c r="CN11" i="1"/>
  <c r="CO11" i="1"/>
  <c r="CN12" i="1"/>
  <c r="CO12" i="1"/>
  <c r="CO6" i="1"/>
  <c r="CN6" i="1"/>
  <c r="CM3" i="1"/>
  <c r="CL3" i="1"/>
  <c r="CN8" i="1" s="1"/>
  <c r="CI7" i="1"/>
  <c r="CH8" i="1"/>
  <c r="CI8" i="1"/>
  <c r="CH9" i="1"/>
  <c r="CI9" i="1"/>
  <c r="CH10" i="1"/>
  <c r="CI10" i="1"/>
  <c r="CH11" i="1"/>
  <c r="CI11" i="1"/>
  <c r="CI12" i="1"/>
  <c r="CI13" i="1"/>
  <c r="CH14" i="1"/>
  <c r="CI14" i="1"/>
  <c r="CH15" i="1"/>
  <c r="CI15" i="1"/>
  <c r="CH16" i="1"/>
  <c r="CI16" i="1"/>
  <c r="CH17" i="1"/>
  <c r="CI17" i="1"/>
  <c r="CG3" i="1"/>
  <c r="CI6" i="1" s="1"/>
  <c r="CF3" i="1"/>
  <c r="CH12" i="1" s="1"/>
  <c r="CB7" i="1"/>
  <c r="CC7" i="1"/>
  <c r="CB8" i="1"/>
  <c r="CC8" i="1"/>
  <c r="CB9" i="1"/>
  <c r="CC9" i="1"/>
  <c r="CB10" i="1"/>
  <c r="CC10" i="1"/>
  <c r="CC11" i="1"/>
  <c r="CC12" i="1"/>
  <c r="CB13" i="1"/>
  <c r="CC13" i="1"/>
  <c r="CB14" i="1"/>
  <c r="CC14" i="1"/>
  <c r="CB15" i="1"/>
  <c r="CC15" i="1"/>
  <c r="CC6" i="1"/>
  <c r="CB6" i="1"/>
  <c r="CA3" i="1"/>
  <c r="BZ3" i="1"/>
  <c r="CB11" i="1" s="1"/>
  <c r="BX8" i="1"/>
  <c r="BX11" i="1"/>
  <c r="BX12" i="1"/>
  <c r="BX13" i="1"/>
  <c r="BX15" i="1"/>
  <c r="BX16" i="1"/>
  <c r="BX22" i="1"/>
  <c r="BX23" i="1"/>
  <c r="BX25" i="1"/>
  <c r="BX26" i="1"/>
  <c r="BX33" i="1"/>
  <c r="BX36" i="1"/>
  <c r="BX37" i="1"/>
  <c r="BX38" i="1"/>
  <c r="BS7" i="1"/>
  <c r="BT7" i="1"/>
  <c r="BV7" i="1" s="1"/>
  <c r="BS8" i="1"/>
  <c r="BT8" i="1"/>
  <c r="BS9" i="1"/>
  <c r="BX9" i="1" s="1"/>
  <c r="BT9" i="1"/>
  <c r="BU9" i="1"/>
  <c r="BV9" i="1"/>
  <c r="BS10" i="1"/>
  <c r="BU10" i="1" s="1"/>
  <c r="BT10" i="1"/>
  <c r="BV10" i="1" s="1"/>
  <c r="BS11" i="1"/>
  <c r="BT11" i="1"/>
  <c r="BS12" i="1"/>
  <c r="BT12" i="1"/>
  <c r="BV12" i="1"/>
  <c r="BS13" i="1"/>
  <c r="BU13" i="1" s="1"/>
  <c r="BT13" i="1"/>
  <c r="BV13" i="1" s="1"/>
  <c r="BS14" i="1"/>
  <c r="BT14" i="1"/>
  <c r="BX14" i="1" s="1"/>
  <c r="BS15" i="1"/>
  <c r="BT15" i="1"/>
  <c r="BS16" i="1"/>
  <c r="BT16" i="1"/>
  <c r="BV16" i="1" s="1"/>
  <c r="BS17" i="1"/>
  <c r="BX17" i="1" s="1"/>
  <c r="BT17" i="1"/>
  <c r="BU17" i="1"/>
  <c r="BV17" i="1"/>
  <c r="BS18" i="1"/>
  <c r="BX18" i="1" s="1"/>
  <c r="BT18" i="1"/>
  <c r="BS19" i="1"/>
  <c r="BT19" i="1"/>
  <c r="BS20" i="1"/>
  <c r="BX20" i="1" s="1"/>
  <c r="BT20" i="1"/>
  <c r="BU20" i="1"/>
  <c r="BV20" i="1"/>
  <c r="BS21" i="1"/>
  <c r="BX21" i="1" s="1"/>
  <c r="BT21" i="1"/>
  <c r="BV21" i="1" s="1"/>
  <c r="BS22" i="1"/>
  <c r="BT22" i="1"/>
  <c r="BS23" i="1"/>
  <c r="BT23" i="1"/>
  <c r="BV23" i="1"/>
  <c r="BS24" i="1"/>
  <c r="BT24" i="1"/>
  <c r="BX24" i="1" s="1"/>
  <c r="BU24" i="1"/>
  <c r="BV24" i="1"/>
  <c r="BS25" i="1"/>
  <c r="BT25" i="1"/>
  <c r="BV25" i="1" s="1"/>
  <c r="BS26" i="1"/>
  <c r="BT26" i="1"/>
  <c r="BS27" i="1"/>
  <c r="BT27" i="1"/>
  <c r="BX27" i="1" s="1"/>
  <c r="BU27" i="1"/>
  <c r="BV27" i="1"/>
  <c r="BS28" i="1"/>
  <c r="BU28" i="1" s="1"/>
  <c r="BT28" i="1"/>
  <c r="BV28" i="1" s="1"/>
  <c r="BS29" i="1"/>
  <c r="BX29" i="1" s="1"/>
  <c r="BT29" i="1"/>
  <c r="BS30" i="1"/>
  <c r="BT30" i="1"/>
  <c r="BX30" i="1" s="1"/>
  <c r="BV30" i="1"/>
  <c r="BS31" i="1"/>
  <c r="BU31" i="1" s="1"/>
  <c r="BT31" i="1"/>
  <c r="BV31" i="1" s="1"/>
  <c r="BS32" i="1"/>
  <c r="BX32" i="1" s="1"/>
  <c r="BT32" i="1"/>
  <c r="BV32" i="1" s="1"/>
  <c r="BS33" i="1"/>
  <c r="BT33" i="1"/>
  <c r="BS34" i="1"/>
  <c r="BT34" i="1"/>
  <c r="BV34" i="1" s="1"/>
  <c r="BS35" i="1"/>
  <c r="BX35" i="1" s="1"/>
  <c r="BT35" i="1"/>
  <c r="BU35" i="1"/>
  <c r="BV35" i="1"/>
  <c r="BS36" i="1"/>
  <c r="BT36" i="1"/>
  <c r="BS37" i="1"/>
  <c r="BT37" i="1"/>
  <c r="BS38" i="1"/>
  <c r="BT38" i="1"/>
  <c r="BU38" i="1"/>
  <c r="BV38" i="1"/>
  <c r="BT6" i="1"/>
  <c r="BV6" i="1" s="1"/>
  <c r="BS6" i="1"/>
  <c r="BX6" i="1" s="1"/>
  <c r="BR3" i="1"/>
  <c r="BV11" i="1" s="1"/>
  <c r="BQ3" i="1"/>
  <c r="BU11" i="1" s="1"/>
  <c r="BO12" i="1"/>
  <c r="BO13" i="1"/>
  <c r="BO15" i="1"/>
  <c r="BO16" i="1"/>
  <c r="BO18" i="1"/>
  <c r="BO24" i="1"/>
  <c r="BO25" i="1"/>
  <c r="BO27" i="1"/>
  <c r="BO28" i="1"/>
  <c r="BO30" i="1"/>
  <c r="BO36" i="1"/>
  <c r="BO37" i="1"/>
  <c r="BO39" i="1"/>
  <c r="BO40" i="1"/>
  <c r="BO42" i="1"/>
  <c r="BJ7" i="1"/>
  <c r="BL7" i="1" s="1"/>
  <c r="BK7" i="1"/>
  <c r="BM7" i="1"/>
  <c r="BJ8" i="1"/>
  <c r="BO8" i="1" s="1"/>
  <c r="BK8" i="1"/>
  <c r="BM8" i="1" s="1"/>
  <c r="BJ9" i="1"/>
  <c r="BK9" i="1"/>
  <c r="BO9" i="1" s="1"/>
  <c r="BM9" i="1"/>
  <c r="BJ10" i="1"/>
  <c r="BO10" i="1" s="1"/>
  <c r="BK10" i="1"/>
  <c r="BL10" i="1"/>
  <c r="BM10" i="1"/>
  <c r="BJ11" i="1"/>
  <c r="BO11" i="1" s="1"/>
  <c r="BK11" i="1"/>
  <c r="BM11" i="1" s="1"/>
  <c r="BJ12" i="1"/>
  <c r="BK12" i="1"/>
  <c r="BM12" i="1"/>
  <c r="BJ13" i="1"/>
  <c r="BK13" i="1"/>
  <c r="BL13" i="1"/>
  <c r="BM13" i="1"/>
  <c r="BJ14" i="1"/>
  <c r="BL14" i="1" s="1"/>
  <c r="BK14" i="1"/>
  <c r="BM14" i="1" s="1"/>
  <c r="BJ15" i="1"/>
  <c r="BK15" i="1"/>
  <c r="BM15" i="1"/>
  <c r="BJ16" i="1"/>
  <c r="BK16" i="1"/>
  <c r="BL16" i="1"/>
  <c r="BM16" i="1"/>
  <c r="BJ17" i="1"/>
  <c r="BO17" i="1" s="1"/>
  <c r="BK17" i="1"/>
  <c r="BM17" i="1" s="1"/>
  <c r="BJ18" i="1"/>
  <c r="BK18" i="1"/>
  <c r="BM18" i="1"/>
  <c r="BJ19" i="1"/>
  <c r="BO19" i="1" s="1"/>
  <c r="BK19" i="1"/>
  <c r="BL19" i="1"/>
  <c r="BM19" i="1"/>
  <c r="BJ20" i="1"/>
  <c r="BO20" i="1" s="1"/>
  <c r="BK20" i="1"/>
  <c r="BM20" i="1" s="1"/>
  <c r="BJ21" i="1"/>
  <c r="BK21" i="1"/>
  <c r="BO21" i="1" s="1"/>
  <c r="BM21" i="1"/>
  <c r="BJ22" i="1"/>
  <c r="BO22" i="1" s="1"/>
  <c r="BK22" i="1"/>
  <c r="BL22" i="1"/>
  <c r="BM22" i="1"/>
  <c r="BJ23" i="1"/>
  <c r="BO23" i="1" s="1"/>
  <c r="BK23" i="1"/>
  <c r="BM23" i="1" s="1"/>
  <c r="BJ24" i="1"/>
  <c r="BK24" i="1"/>
  <c r="BM24" i="1"/>
  <c r="BJ25" i="1"/>
  <c r="BK25" i="1"/>
  <c r="BL25" i="1"/>
  <c r="BM25" i="1"/>
  <c r="BJ26" i="1"/>
  <c r="BO26" i="1" s="1"/>
  <c r="BK26" i="1"/>
  <c r="BM26" i="1" s="1"/>
  <c r="BJ27" i="1"/>
  <c r="BK27" i="1"/>
  <c r="BM27" i="1"/>
  <c r="BJ28" i="1"/>
  <c r="BK28" i="1"/>
  <c r="BL28" i="1"/>
  <c r="BM28" i="1"/>
  <c r="BJ29" i="1"/>
  <c r="BO29" i="1" s="1"/>
  <c r="BK29" i="1"/>
  <c r="BM29" i="1" s="1"/>
  <c r="BJ30" i="1"/>
  <c r="BK30" i="1"/>
  <c r="BM30" i="1"/>
  <c r="BJ31" i="1"/>
  <c r="BO31" i="1" s="1"/>
  <c r="BK31" i="1"/>
  <c r="BL31" i="1"/>
  <c r="BM31" i="1"/>
  <c r="BJ32" i="1"/>
  <c r="BO32" i="1" s="1"/>
  <c r="BK32" i="1"/>
  <c r="BM32" i="1" s="1"/>
  <c r="BJ33" i="1"/>
  <c r="BK33" i="1"/>
  <c r="BO33" i="1" s="1"/>
  <c r="BM33" i="1"/>
  <c r="BJ34" i="1"/>
  <c r="BO34" i="1" s="1"/>
  <c r="BK34" i="1"/>
  <c r="BL34" i="1"/>
  <c r="BM34" i="1"/>
  <c r="BJ35" i="1"/>
  <c r="BO35" i="1" s="1"/>
  <c r="BK35" i="1"/>
  <c r="BM35" i="1" s="1"/>
  <c r="BJ36" i="1"/>
  <c r="BK36" i="1"/>
  <c r="BM36" i="1"/>
  <c r="BJ37" i="1"/>
  <c r="BK37" i="1"/>
  <c r="BL37" i="1"/>
  <c r="BM37" i="1"/>
  <c r="BJ38" i="1"/>
  <c r="BO38" i="1" s="1"/>
  <c r="BK38" i="1"/>
  <c r="BM38" i="1" s="1"/>
  <c r="BJ39" i="1"/>
  <c r="BK39" i="1"/>
  <c r="BM39" i="1"/>
  <c r="BJ40" i="1"/>
  <c r="BK40" i="1"/>
  <c r="BL40" i="1"/>
  <c r="BM40" i="1"/>
  <c r="BJ41" i="1"/>
  <c r="BO41" i="1" s="1"/>
  <c r="BK41" i="1"/>
  <c r="BM41" i="1" s="1"/>
  <c r="BJ42" i="1"/>
  <c r="BK42" i="1"/>
  <c r="BM42" i="1"/>
  <c r="BJ43" i="1"/>
  <c r="BO43" i="1" s="1"/>
  <c r="BK43" i="1"/>
  <c r="BL43" i="1"/>
  <c r="BM43" i="1"/>
  <c r="BJ44" i="1"/>
  <c r="BO44" i="1" s="1"/>
  <c r="BK44" i="1"/>
  <c r="BM44" i="1" s="1"/>
  <c r="BJ45" i="1"/>
  <c r="BK45" i="1"/>
  <c r="BO45" i="1" s="1"/>
  <c r="BM45" i="1"/>
  <c r="BJ46" i="1"/>
  <c r="BO46" i="1" s="1"/>
  <c r="BK46" i="1"/>
  <c r="BL46" i="1"/>
  <c r="BM46" i="1"/>
  <c r="BJ47" i="1"/>
  <c r="BO47" i="1" s="1"/>
  <c r="BK47" i="1"/>
  <c r="BM47" i="1" s="1"/>
  <c r="BK6" i="1"/>
  <c r="BJ6" i="1"/>
  <c r="BO6" i="1" s="1"/>
  <c r="BI3" i="1"/>
  <c r="BH3" i="1"/>
  <c r="BL9" i="1" s="1"/>
  <c r="Z7" i="1"/>
  <c r="AB7" i="1" s="1"/>
  <c r="AA7" i="1"/>
  <c r="AC7" i="1" s="1"/>
  <c r="Z8" i="1"/>
  <c r="AA8" i="1"/>
  <c r="AC8" i="1" s="1"/>
  <c r="Z9" i="1"/>
  <c r="AA9" i="1"/>
  <c r="Z10" i="1"/>
  <c r="AA10" i="1"/>
  <c r="Z11" i="1"/>
  <c r="AA11" i="1"/>
  <c r="AB11" i="1"/>
  <c r="AC11" i="1"/>
  <c r="Z12" i="1"/>
  <c r="AB12" i="1" s="1"/>
  <c r="AA12" i="1"/>
  <c r="AE12" i="1" s="1"/>
  <c r="Z13" i="1"/>
  <c r="AA13" i="1"/>
  <c r="Z14" i="1"/>
  <c r="AA14" i="1"/>
  <c r="Z15" i="1"/>
  <c r="AA15" i="1"/>
  <c r="AC15" i="1" s="1"/>
  <c r="AB15" i="1"/>
  <c r="Z16" i="1"/>
  <c r="AB16" i="1" s="1"/>
  <c r="AA16" i="1"/>
  <c r="AC16" i="1" s="1"/>
  <c r="Z17" i="1"/>
  <c r="AA17" i="1"/>
  <c r="Z18" i="1"/>
  <c r="AE18" i="1" s="1"/>
  <c r="AA18" i="1"/>
  <c r="Z19" i="1"/>
  <c r="AB19" i="1" s="1"/>
  <c r="AA19" i="1"/>
  <c r="Z20" i="1"/>
  <c r="AA20" i="1"/>
  <c r="AC20" i="1" s="1"/>
  <c r="AB20" i="1"/>
  <c r="Z21" i="1"/>
  <c r="AB21" i="1" s="1"/>
  <c r="AA21" i="1"/>
  <c r="Z22" i="1"/>
  <c r="AA22" i="1"/>
  <c r="Z23" i="1"/>
  <c r="AA23" i="1"/>
  <c r="AB23" i="1"/>
  <c r="Z24" i="1"/>
  <c r="AA24" i="1"/>
  <c r="AC24" i="1" s="1"/>
  <c r="Z25" i="1"/>
  <c r="AB25" i="1" s="1"/>
  <c r="AA25" i="1"/>
  <c r="AC25" i="1" s="1"/>
  <c r="Z26" i="1"/>
  <c r="AE26" i="1" s="1"/>
  <c r="AA26" i="1"/>
  <c r="Z27" i="1"/>
  <c r="AB27" i="1" s="1"/>
  <c r="AA27" i="1"/>
  <c r="Z28" i="1"/>
  <c r="AB28" i="1" s="1"/>
  <c r="AA28" i="1"/>
  <c r="Z29" i="1"/>
  <c r="AE29" i="1" s="1"/>
  <c r="AA29" i="1"/>
  <c r="AB29" i="1"/>
  <c r="AC29" i="1"/>
  <c r="Z30" i="1"/>
  <c r="AE30" i="1" s="1"/>
  <c r="AA30" i="1"/>
  <c r="Z31" i="1"/>
  <c r="AB31" i="1" s="1"/>
  <c r="AA31" i="1"/>
  <c r="AA6" i="1"/>
  <c r="Z6" i="1"/>
  <c r="AE6" i="1" s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Q7" i="1"/>
  <c r="Q8" i="1"/>
  <c r="Q9" i="1"/>
  <c r="V9" i="1" s="1"/>
  <c r="Q10" i="1"/>
  <c r="V10" i="1" s="1"/>
  <c r="Q11" i="1"/>
  <c r="Q12" i="1"/>
  <c r="V12" i="1" s="1"/>
  <c r="Q13" i="1"/>
  <c r="Q14" i="1"/>
  <c r="Q15" i="1"/>
  <c r="Q16" i="1"/>
  <c r="V16" i="1" s="1"/>
  <c r="Q17" i="1"/>
  <c r="Q18" i="1"/>
  <c r="V18" i="1" s="1"/>
  <c r="Q19" i="1"/>
  <c r="Q20" i="1"/>
  <c r="Q21" i="1"/>
  <c r="V21" i="1" s="1"/>
  <c r="Q22" i="1"/>
  <c r="V22" i="1" s="1"/>
  <c r="Q23" i="1"/>
  <c r="Q24" i="1"/>
  <c r="V24" i="1" s="1"/>
  <c r="Q25" i="1"/>
  <c r="Q26" i="1"/>
  <c r="Q27" i="1"/>
  <c r="Q28" i="1"/>
  <c r="V28" i="1" s="1"/>
  <c r="Q29" i="1"/>
  <c r="Q30" i="1"/>
  <c r="Q31" i="1"/>
  <c r="R6" i="1"/>
  <c r="Q6" i="1"/>
  <c r="I6" i="1"/>
  <c r="H6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6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6" i="1"/>
  <c r="BB7" i="1"/>
  <c r="BA7" i="1"/>
  <c r="AZ3" i="1"/>
  <c r="AY3" i="1"/>
  <c r="AT3" i="1"/>
  <c r="AV17" i="1" s="1"/>
  <c r="AS3" i="1"/>
  <c r="AU11" i="1" s="1"/>
  <c r="AN3" i="1"/>
  <c r="AP13" i="1" s="1"/>
  <c r="AM3" i="1"/>
  <c r="AO16" i="1" s="1"/>
  <c r="AH3" i="1"/>
  <c r="AJ6" i="1" s="1"/>
  <c r="AG3" i="1"/>
  <c r="AI6" i="1" s="1"/>
  <c r="Y3" i="1"/>
  <c r="AC26" i="1" s="1"/>
  <c r="X3" i="1"/>
  <c r="AB9" i="1" s="1"/>
  <c r="P3" i="1"/>
  <c r="O3" i="1"/>
  <c r="BO14" i="1" l="1"/>
  <c r="AB30" i="1"/>
  <c r="AB26" i="1"/>
  <c r="AC21" i="1"/>
  <c r="AC17" i="1"/>
  <c r="AC12" i="1"/>
  <c r="BV14" i="1"/>
  <c r="BX28" i="1"/>
  <c r="CU14" i="1"/>
  <c r="CU8" i="1"/>
  <c r="DA16" i="1"/>
  <c r="DA10" i="1"/>
  <c r="V25" i="1"/>
  <c r="V13" i="1"/>
  <c r="BL47" i="1"/>
  <c r="BL44" i="1"/>
  <c r="BL41" i="1"/>
  <c r="BL38" i="1"/>
  <c r="BL35" i="1"/>
  <c r="BL32" i="1"/>
  <c r="BL29" i="1"/>
  <c r="BL26" i="1"/>
  <c r="BL23" i="1"/>
  <c r="BL20" i="1"/>
  <c r="BL17" i="1"/>
  <c r="BL11" i="1"/>
  <c r="BL8" i="1"/>
  <c r="BU32" i="1"/>
  <c r="BU25" i="1"/>
  <c r="BU21" i="1"/>
  <c r="BU14" i="1"/>
  <c r="BU7" i="1"/>
  <c r="CT14" i="1"/>
  <c r="CT8" i="1"/>
  <c r="CZ16" i="1"/>
  <c r="CZ10" i="1"/>
  <c r="CU13" i="1"/>
  <c r="CU7" i="1"/>
  <c r="CT7" i="1"/>
  <c r="CU12" i="1"/>
  <c r="CZ14" i="1"/>
  <c r="AE24" i="1"/>
  <c r="CZ6" i="1"/>
  <c r="AE11" i="1"/>
  <c r="BU34" i="1"/>
  <c r="BU30" i="1"/>
  <c r="BU23" i="1"/>
  <c r="BU16" i="1"/>
  <c r="BU12" i="1"/>
  <c r="CT17" i="1"/>
  <c r="CT11" i="1"/>
  <c r="DA6" i="1"/>
  <c r="CZ13" i="1"/>
  <c r="CZ7" i="1"/>
  <c r="CT12" i="1"/>
  <c r="AC19" i="1"/>
  <c r="DA13" i="1"/>
  <c r="AC14" i="1"/>
  <c r="AC23" i="1"/>
  <c r="AC18" i="1"/>
  <c r="AC10" i="1"/>
  <c r="BV37" i="1"/>
  <c r="BV33" i="1"/>
  <c r="BV26" i="1"/>
  <c r="BV19" i="1"/>
  <c r="BV15" i="1"/>
  <c r="BV8" i="1"/>
  <c r="CU16" i="1"/>
  <c r="CU10" i="1"/>
  <c r="DA18" i="1"/>
  <c r="DA12" i="1"/>
  <c r="BX34" i="1"/>
  <c r="CU11" i="1"/>
  <c r="AC6" i="1"/>
  <c r="AC31" i="1"/>
  <c r="AE27" i="1"/>
  <c r="AB14" i="1"/>
  <c r="AB10" i="1"/>
  <c r="BL45" i="1"/>
  <c r="BL42" i="1"/>
  <c r="BL39" i="1"/>
  <c r="BL36" i="1"/>
  <c r="BL33" i="1"/>
  <c r="BL30" i="1"/>
  <c r="BL27" i="1"/>
  <c r="BL24" i="1"/>
  <c r="BL21" i="1"/>
  <c r="BL18" i="1"/>
  <c r="BL15" i="1"/>
  <c r="BL12" i="1"/>
  <c r="BU37" i="1"/>
  <c r="BU33" i="1"/>
  <c r="BU26" i="1"/>
  <c r="BU19" i="1"/>
  <c r="BU15" i="1"/>
  <c r="BU8" i="1"/>
  <c r="BX31" i="1"/>
  <c r="BX19" i="1"/>
  <c r="BX7" i="1"/>
  <c r="CB12" i="1"/>
  <c r="CH13" i="1"/>
  <c r="CH7" i="1"/>
  <c r="CN9" i="1"/>
  <c r="CT16" i="1"/>
  <c r="CT10" i="1"/>
  <c r="CZ18" i="1"/>
  <c r="CZ12" i="1"/>
  <c r="CU6" i="1"/>
  <c r="DA7" i="1"/>
  <c r="AC28" i="1"/>
  <c r="AC22" i="1"/>
  <c r="AC13" i="1"/>
  <c r="BV36" i="1"/>
  <c r="BV29" i="1"/>
  <c r="BV22" i="1"/>
  <c r="BV18" i="1"/>
  <c r="CH6" i="1"/>
  <c r="CU15" i="1"/>
  <c r="CU9" i="1"/>
  <c r="DA17" i="1"/>
  <c r="CT6" i="1"/>
  <c r="CZ8" i="1"/>
  <c r="AE15" i="1"/>
  <c r="BX10" i="1"/>
  <c r="BF10" i="1"/>
  <c r="AC9" i="1"/>
  <c r="V27" i="1"/>
  <c r="V15" i="1"/>
  <c r="AC30" i="1"/>
  <c r="AB22" i="1"/>
  <c r="AB17" i="1"/>
  <c r="AB13" i="1"/>
  <c r="BM6" i="1"/>
  <c r="BO7" i="1"/>
  <c r="BU36" i="1"/>
  <c r="BU29" i="1"/>
  <c r="BU22" i="1"/>
  <c r="BU18" i="1"/>
  <c r="CT15" i="1"/>
  <c r="CZ17" i="1"/>
  <c r="BU6" i="1"/>
  <c r="BL6" i="1"/>
  <c r="AE8" i="1"/>
  <c r="AE23" i="1"/>
  <c r="AB18" i="1"/>
  <c r="AE25" i="1"/>
  <c r="AB24" i="1"/>
  <c r="AE9" i="1"/>
  <c r="AE16" i="1"/>
  <c r="AC27" i="1"/>
  <c r="AE20" i="1"/>
  <c r="AB8" i="1"/>
  <c r="AE14" i="1"/>
  <c r="AE22" i="1"/>
  <c r="AE10" i="1"/>
  <c r="AE17" i="1"/>
  <c r="AE21" i="1"/>
  <c r="AE13" i="1"/>
  <c r="AE28" i="1"/>
  <c r="AB6" i="1"/>
  <c r="AE31" i="1"/>
  <c r="AE19" i="1"/>
  <c r="AE7" i="1"/>
  <c r="BF15" i="1"/>
  <c r="V20" i="1"/>
  <c r="S30" i="1"/>
  <c r="T19" i="1"/>
  <c r="S12" i="1"/>
  <c r="T8" i="1"/>
  <c r="S29" i="1"/>
  <c r="T18" i="1"/>
  <c r="S25" i="1"/>
  <c r="T17" i="1"/>
  <c r="T23" i="1"/>
  <c r="T28" i="1"/>
  <c r="T16" i="1"/>
  <c r="T14" i="1"/>
  <c r="BF9" i="1"/>
  <c r="BF20" i="1"/>
  <c r="BF8" i="1"/>
  <c r="V26" i="1"/>
  <c r="V14" i="1"/>
  <c r="T27" i="1"/>
  <c r="T15" i="1"/>
  <c r="T11" i="1"/>
  <c r="AO25" i="1"/>
  <c r="V30" i="1"/>
  <c r="AO23" i="1"/>
  <c r="S23" i="1"/>
  <c r="S11" i="1"/>
  <c r="T24" i="1"/>
  <c r="T12" i="1"/>
  <c r="S13" i="1"/>
  <c r="S22" i="1"/>
  <c r="S17" i="1"/>
  <c r="AO22" i="1"/>
  <c r="S10" i="1"/>
  <c r="AO34" i="1"/>
  <c r="S18" i="1"/>
  <c r="AO24" i="1"/>
  <c r="T13" i="1"/>
  <c r="T22" i="1"/>
  <c r="T10" i="1"/>
  <c r="T31" i="1"/>
  <c r="AO36" i="1"/>
  <c r="AO35" i="1"/>
  <c r="T25" i="1"/>
  <c r="T6" i="1"/>
  <c r="V8" i="1"/>
  <c r="T21" i="1"/>
  <c r="T9" i="1"/>
  <c r="T30" i="1"/>
  <c r="V29" i="1"/>
  <c r="T7" i="1"/>
  <c r="V31" i="1"/>
  <c r="V19" i="1"/>
  <c r="V7" i="1"/>
  <c r="T26" i="1"/>
  <c r="S21" i="1"/>
  <c r="S9" i="1"/>
  <c r="V23" i="1"/>
  <c r="V11" i="1"/>
  <c r="S20" i="1"/>
  <c r="S8" i="1"/>
  <c r="BF7" i="1"/>
  <c r="S31" i="1"/>
  <c r="S19" i="1"/>
  <c r="S7" i="1"/>
  <c r="T20" i="1"/>
  <c r="S28" i="1"/>
  <c r="T29" i="1"/>
  <c r="BF19" i="1"/>
  <c r="S27" i="1"/>
  <c r="S15" i="1"/>
  <c r="V17" i="1"/>
  <c r="S16" i="1"/>
  <c r="S26" i="1"/>
  <c r="S14" i="1"/>
  <c r="S24" i="1"/>
  <c r="V6" i="1"/>
  <c r="S6" i="1"/>
  <c r="AV25" i="1"/>
  <c r="AO15" i="1"/>
  <c r="AO14" i="1"/>
  <c r="AO39" i="1"/>
  <c r="AO9" i="1"/>
  <c r="AO38" i="1"/>
  <c r="AO8" i="1"/>
  <c r="AO37" i="1"/>
  <c r="AV10" i="1"/>
  <c r="BF14" i="1"/>
  <c r="BC15" i="1"/>
  <c r="AU31" i="1"/>
  <c r="AU7" i="1"/>
  <c r="BD17" i="1"/>
  <c r="AU32" i="1"/>
  <c r="AO21" i="1"/>
  <c r="AV47" i="1"/>
  <c r="BF18" i="1"/>
  <c r="AV48" i="1"/>
  <c r="AO20" i="1"/>
  <c r="AV27" i="1"/>
  <c r="BF17" i="1"/>
  <c r="BC10" i="1"/>
  <c r="AV26" i="1"/>
  <c r="BF16" i="1"/>
  <c r="M6" i="1"/>
  <c r="BC9" i="1"/>
  <c r="AP21" i="1"/>
  <c r="BC11" i="1"/>
  <c r="AU22" i="1"/>
  <c r="AJ23" i="1"/>
  <c r="AP32" i="1"/>
  <c r="AP17" i="1"/>
  <c r="AU44" i="1"/>
  <c r="AU20" i="1"/>
  <c r="AV38" i="1"/>
  <c r="AV16" i="1"/>
  <c r="AJ22" i="1"/>
  <c r="AP31" i="1"/>
  <c r="AP16" i="1"/>
  <c r="AU43" i="1"/>
  <c r="AU19" i="1"/>
  <c r="AV37" i="1"/>
  <c r="AV15" i="1"/>
  <c r="BD6" i="1"/>
  <c r="BD9" i="1"/>
  <c r="AP8" i="1"/>
  <c r="AP35" i="1"/>
  <c r="AP19" i="1"/>
  <c r="BF12" i="1"/>
  <c r="AP33" i="1"/>
  <c r="AV39" i="1"/>
  <c r="BD12" i="1"/>
  <c r="BD10" i="1"/>
  <c r="AJ14" i="1"/>
  <c r="AO33" i="1"/>
  <c r="AO13" i="1"/>
  <c r="AP30" i="1"/>
  <c r="AP12" i="1"/>
  <c r="AU42" i="1"/>
  <c r="AU18" i="1"/>
  <c r="AV36" i="1"/>
  <c r="AV14" i="1"/>
  <c r="BC18" i="1"/>
  <c r="BD20" i="1"/>
  <c r="BD8" i="1"/>
  <c r="AP7" i="1"/>
  <c r="AV46" i="1"/>
  <c r="BF13" i="1"/>
  <c r="AV40" i="1"/>
  <c r="BD14" i="1"/>
  <c r="AJ26" i="1"/>
  <c r="AU45" i="1"/>
  <c r="AV22" i="1"/>
  <c r="BD11" i="1"/>
  <c r="AJ11" i="1"/>
  <c r="AO32" i="1"/>
  <c r="AO12" i="1"/>
  <c r="AP29" i="1"/>
  <c r="AP11" i="1"/>
  <c r="AU41" i="1"/>
  <c r="AU17" i="1"/>
  <c r="AV35" i="1"/>
  <c r="AV13" i="1"/>
  <c r="BC14" i="1"/>
  <c r="AP23" i="1"/>
  <c r="AP6" i="1"/>
  <c r="AP22" i="1"/>
  <c r="BD16" i="1"/>
  <c r="AP20" i="1"/>
  <c r="AU29" i="1"/>
  <c r="AV24" i="1"/>
  <c r="AU46" i="1"/>
  <c r="AV23" i="1"/>
  <c r="AU21" i="1"/>
  <c r="AJ10" i="1"/>
  <c r="AO27" i="1"/>
  <c r="AO11" i="1"/>
  <c r="AP28" i="1"/>
  <c r="AP10" i="1"/>
  <c r="AU34" i="1"/>
  <c r="AU10" i="1"/>
  <c r="AV34" i="1"/>
  <c r="AV12" i="1"/>
  <c r="BC13" i="1"/>
  <c r="AP36" i="1"/>
  <c r="AU30" i="1"/>
  <c r="BD15" i="1"/>
  <c r="AP34" i="1"/>
  <c r="AP18" i="1"/>
  <c r="BC6" i="1"/>
  <c r="AO26" i="1"/>
  <c r="AO10" i="1"/>
  <c r="AP24" i="1"/>
  <c r="AP9" i="1"/>
  <c r="AU33" i="1"/>
  <c r="AU9" i="1"/>
  <c r="AV28" i="1"/>
  <c r="AV11" i="1"/>
  <c r="BC12" i="1"/>
  <c r="AI23" i="1"/>
  <c r="AI22" i="1"/>
  <c r="AI10" i="1"/>
  <c r="AJ25" i="1"/>
  <c r="AJ13" i="1"/>
  <c r="AI33" i="1"/>
  <c r="AI21" i="1"/>
  <c r="AI9" i="1"/>
  <c r="AJ24" i="1"/>
  <c r="AJ12" i="1"/>
  <c r="AU8" i="1"/>
  <c r="AI20" i="1"/>
  <c r="BD13" i="1"/>
  <c r="AI19" i="1"/>
  <c r="AJ9" i="1"/>
  <c r="AI17" i="1"/>
  <c r="AU40" i="1"/>
  <c r="BC8" i="1"/>
  <c r="AI28" i="1"/>
  <c r="AI16" i="1"/>
  <c r="AJ19" i="1"/>
  <c r="AJ7" i="1"/>
  <c r="AU39" i="1"/>
  <c r="AU27" i="1"/>
  <c r="AU15" i="1"/>
  <c r="AV45" i="1"/>
  <c r="AV33" i="1"/>
  <c r="AV21" i="1"/>
  <c r="AV9" i="1"/>
  <c r="BC19" i="1"/>
  <c r="BC7" i="1"/>
  <c r="BF11" i="1"/>
  <c r="AI11" i="1"/>
  <c r="AI29" i="1"/>
  <c r="AJ32" i="1"/>
  <c r="AJ8" i="1"/>
  <c r="AU28" i="1"/>
  <c r="AU16" i="1"/>
  <c r="AJ31" i="1"/>
  <c r="AI27" i="1"/>
  <c r="AI15" i="1"/>
  <c r="AJ30" i="1"/>
  <c r="AJ18" i="1"/>
  <c r="AO31" i="1"/>
  <c r="AO19" i="1"/>
  <c r="AO7" i="1"/>
  <c r="AU6" i="1"/>
  <c r="AU38" i="1"/>
  <c r="AU26" i="1"/>
  <c r="AU14" i="1"/>
  <c r="AV44" i="1"/>
  <c r="AV32" i="1"/>
  <c r="AV20" i="1"/>
  <c r="AV8" i="1"/>
  <c r="AI8" i="1"/>
  <c r="AI30" i="1"/>
  <c r="AJ21" i="1"/>
  <c r="AJ20" i="1"/>
  <c r="AI26" i="1"/>
  <c r="AI14" i="1"/>
  <c r="AJ29" i="1"/>
  <c r="AJ17" i="1"/>
  <c r="AO30" i="1"/>
  <c r="AO18" i="1"/>
  <c r="AP39" i="1"/>
  <c r="AP27" i="1"/>
  <c r="AP15" i="1"/>
  <c r="AV6" i="1"/>
  <c r="AU37" i="1"/>
  <c r="AU25" i="1"/>
  <c r="AU13" i="1"/>
  <c r="AV43" i="1"/>
  <c r="AV31" i="1"/>
  <c r="AV19" i="1"/>
  <c r="AV7" i="1"/>
  <c r="BC17" i="1"/>
  <c r="BD19" i="1"/>
  <c r="BD7" i="1"/>
  <c r="AI32" i="1"/>
  <c r="AI31" i="1"/>
  <c r="AI18" i="1"/>
  <c r="BC20" i="1"/>
  <c r="AI25" i="1"/>
  <c r="AI13" i="1"/>
  <c r="AJ28" i="1"/>
  <c r="AJ16" i="1"/>
  <c r="AO29" i="1"/>
  <c r="AO17" i="1"/>
  <c r="AP38" i="1"/>
  <c r="AP26" i="1"/>
  <c r="AP14" i="1"/>
  <c r="AU48" i="1"/>
  <c r="AU36" i="1"/>
  <c r="AU24" i="1"/>
  <c r="AU12" i="1"/>
  <c r="AV42" i="1"/>
  <c r="AV30" i="1"/>
  <c r="AV18" i="1"/>
  <c r="BC16" i="1"/>
  <c r="BD18" i="1"/>
  <c r="AI7" i="1"/>
  <c r="AJ33" i="1"/>
  <c r="AI24" i="1"/>
  <c r="AI12" i="1"/>
  <c r="AJ27" i="1"/>
  <c r="AJ15" i="1"/>
  <c r="AO6" i="1"/>
  <c r="AO28" i="1"/>
  <c r="AP37" i="1"/>
  <c r="AP25" i="1"/>
  <c r="AU47" i="1"/>
  <c r="AU35" i="1"/>
  <c r="AU23" i="1"/>
  <c r="AV41" i="1"/>
  <c r="AV29" i="1"/>
  <c r="BF6" i="1"/>
  <c r="G3" i="1" l="1"/>
  <c r="F3" i="1"/>
  <c r="J6" i="1" l="1"/>
  <c r="J13" i="1"/>
  <c r="J30" i="1"/>
  <c r="J7" i="1"/>
  <c r="J10" i="1"/>
  <c r="J20" i="1"/>
  <c r="J27" i="1"/>
  <c r="J40" i="1"/>
  <c r="J17" i="1"/>
  <c r="J37" i="1"/>
  <c r="J14" i="1"/>
  <c r="J24" i="1"/>
  <c r="J34" i="1"/>
  <c r="J8" i="1"/>
  <c r="J21" i="1"/>
  <c r="J38" i="1"/>
  <c r="J11" i="1"/>
  <c r="J31" i="1"/>
  <c r="J41" i="1"/>
  <c r="J28" i="1"/>
  <c r="J18" i="1"/>
  <c r="J35" i="1"/>
  <c r="J15" i="1"/>
  <c r="J25" i="1"/>
  <c r="J32" i="1"/>
  <c r="J12" i="1"/>
  <c r="J29" i="1"/>
  <c r="J22" i="1"/>
  <c r="J39" i="1"/>
  <c r="J19" i="1"/>
  <c r="J36" i="1"/>
  <c r="J16" i="1"/>
  <c r="J33" i="1"/>
  <c r="J9" i="1"/>
  <c r="J26" i="1"/>
  <c r="J23" i="1"/>
  <c r="K6" i="1"/>
  <c r="K23" i="1"/>
  <c r="K33" i="1"/>
  <c r="K30" i="1"/>
  <c r="K7" i="1"/>
  <c r="K20" i="1"/>
  <c r="K27" i="1"/>
  <c r="K17" i="1"/>
  <c r="K18" i="1"/>
  <c r="K14" i="1"/>
  <c r="K24" i="1"/>
  <c r="K11" i="1"/>
  <c r="K41" i="1"/>
  <c r="K8" i="1"/>
  <c r="K21" i="1"/>
  <c r="K38" i="1"/>
  <c r="K35" i="1"/>
  <c r="K15" i="1"/>
  <c r="K32" i="1"/>
  <c r="K12" i="1"/>
  <c r="K29" i="1"/>
  <c r="K26" i="1"/>
  <c r="K39" i="1"/>
  <c r="K36" i="1"/>
  <c r="K9" i="1"/>
  <c r="K13" i="1"/>
  <c r="K28" i="1"/>
  <c r="K40" i="1"/>
  <c r="K25" i="1"/>
  <c r="K16" i="1"/>
  <c r="K10" i="1"/>
  <c r="K31" i="1"/>
  <c r="K34" i="1"/>
  <c r="K22" i="1"/>
  <c r="K19" i="1"/>
  <c r="K37" i="1"/>
  <c r="M17" i="1"/>
  <c r="M18" i="1"/>
  <c r="M20" i="1"/>
  <c r="M9" i="1"/>
  <c r="M24" i="1"/>
  <c r="M39" i="1"/>
  <c r="M40" i="1"/>
  <c r="M29" i="1"/>
  <c r="M41" i="1"/>
  <c r="M21" i="1"/>
  <c r="M32" i="1"/>
  <c r="M10" i="1"/>
  <c r="M36" i="1"/>
  <c r="M30" i="1" l="1"/>
  <c r="M23" i="1"/>
  <c r="M28" i="1"/>
  <c r="M15" i="1"/>
  <c r="M26" i="1"/>
  <c r="M16" i="1"/>
  <c r="M7" i="1"/>
  <c r="M38" i="1"/>
  <c r="M14" i="1"/>
  <c r="M31" i="1"/>
  <c r="M27" i="1"/>
  <c r="M11" i="1"/>
  <c r="M37" i="1"/>
  <c r="M22" i="1"/>
  <c r="M34" i="1"/>
  <c r="M25" i="1"/>
  <c r="M35" i="1"/>
  <c r="M12" i="1"/>
  <c r="M8" i="1"/>
  <c r="M19" i="1"/>
  <c r="M33" i="1"/>
  <c r="M13" i="1"/>
</calcChain>
</file>

<file path=xl/sharedStrings.xml><?xml version="1.0" encoding="utf-8"?>
<sst xmlns="http://schemas.openxmlformats.org/spreadsheetml/2006/main" count="149" uniqueCount="59">
  <si>
    <t>Paper Number</t>
  </si>
  <si>
    <t>Source Name</t>
  </si>
  <si>
    <t>Year</t>
  </si>
  <si>
    <t>Calculation of excess Gibbs energies and
activity coefficients from isopiestic
measurements on mixtures of lithium and
sodium salts</t>
  </si>
  <si>
    <t>Paper 1:  NaCl + LiCl</t>
  </si>
  <si>
    <t>m(NaCl)</t>
  </si>
  <si>
    <t>m(LiCl)</t>
  </si>
  <si>
    <t>osmotic coeff.</t>
  </si>
  <si>
    <t>aw</t>
  </si>
  <si>
    <t>mass fraction (NaCl)</t>
  </si>
  <si>
    <t>mass fraction (LiCl)</t>
  </si>
  <si>
    <t>Paper 1:  NaNO3 + LiNO3</t>
  </si>
  <si>
    <t xml:space="preserve">Paper 1:  NaC2H3O2 + LiC2H3O2 </t>
  </si>
  <si>
    <t xml:space="preserve">Water activities, activity coefficients and solubility in the binary and ternary aqueous solutions </t>
  </si>
  <si>
    <t>m(BaCl2)</t>
  </si>
  <si>
    <t xml:space="preserve">Paper 2:  LiCl + BaCl2 </t>
  </si>
  <si>
    <t xml:space="preserve">Paper 2:  LiCl + MgCl2 </t>
  </si>
  <si>
    <t>m(MgCl2)</t>
  </si>
  <si>
    <t xml:space="preserve">Paper 2:  LiCl + CaCl2 </t>
  </si>
  <si>
    <t>m(CaCl2)</t>
  </si>
  <si>
    <t>m(NaNO3)</t>
  </si>
  <si>
    <t>m(LiNO3)</t>
  </si>
  <si>
    <t>Isopiestic Measurements of the Osmotic and Activity Coefficients for the Systems H</t>
  </si>
  <si>
    <t xml:space="preserve">Paper 3:  HClO4 + LiClO4 </t>
  </si>
  <si>
    <t>m(HClO4)</t>
  </si>
  <si>
    <t>m(LiClO4)</t>
  </si>
  <si>
    <t>m</t>
  </si>
  <si>
    <t>y_LiClO4</t>
  </si>
  <si>
    <t>y_LiCl</t>
  </si>
  <si>
    <t>y_LiNO3</t>
  </si>
  <si>
    <t>y_LiC2H3O2</t>
  </si>
  <si>
    <t>m(NaC2H3O2)</t>
  </si>
  <si>
    <t>m(LiC2H3O2)</t>
  </si>
  <si>
    <t xml:space="preserve">Paper 3:  HClO4 + NaClO4 </t>
  </si>
  <si>
    <t>y_NaClO4</t>
  </si>
  <si>
    <t>m(NaClO4)</t>
  </si>
  <si>
    <t xml:space="preserve">Paper 3:  LiClO4 + NaClO4 </t>
  </si>
  <si>
    <t>ESTIMATION OF WATER ACTIVITIES IN MULTI COMPONENT ELECTROLYTE SOLUTIONS</t>
  </si>
  <si>
    <t>m(HCl)</t>
  </si>
  <si>
    <t>m(Ba(ClO4)2)</t>
  </si>
  <si>
    <t>m(Na2SO4)</t>
  </si>
  <si>
    <t>The Thermodynamic Study of the System LiCl-KCl-H2O at the Temperature 298.15 K </t>
  </si>
  <si>
    <t>m(KCl)</t>
  </si>
  <si>
    <t>El Guendouzi, M.; Benbiyi, A.; Azougen, R.; Dinane, A. Thermodynamic Properties of Two Ternary Systems {yCsCl + (1–y)LiCl} (aq) and {yCsCl + (1–y)NaCl}(aq) at Temperature 298.15 K CALPHAD: Comput.</t>
  </si>
  <si>
    <t>m(CsCl)</t>
  </si>
  <si>
    <t>Thermodynamic properties of the mixed electrolyte systems {yMgCl2+(1-y)NaCl}(aq) and {yMgCl2+(1-y)CaCl2}(aq) at 298.15</t>
  </si>
  <si>
    <t xml:space="preserve">Paper 5:  HCl + NaCl </t>
  </si>
  <si>
    <t xml:space="preserve">Paper 5:  HCl + BaCl2 </t>
  </si>
  <si>
    <t xml:space="preserve">Paper 5:  HCl + NaClO4 </t>
  </si>
  <si>
    <t>Paper 5:  HCl + Ba(ClO4)2</t>
  </si>
  <si>
    <t>Paper 5:  HCl + Na2SO4</t>
  </si>
  <si>
    <t>Paper 6: LiCl + KCl</t>
  </si>
  <si>
    <t>Paper 6: LiCl + CsCl</t>
  </si>
  <si>
    <t>Paper 6: NaCl + CsCl</t>
  </si>
  <si>
    <t>Paper 7: MgCl2 + NaCl</t>
  </si>
  <si>
    <t>Paper 7: MgCl2 + CaCl2</t>
  </si>
  <si>
    <t>Hygrometric Determination of Water Activities and Osmotic and Activity Coefficients of NH4Cl-LiCl-H2O at 25 °</t>
  </si>
  <si>
    <t>Paper 8: NH4Cl + LiCl</t>
  </si>
  <si>
    <t>m(NH4Cl)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</si>
</sst>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AA6D-FF95-844B-B986-5DD2EF8128FD}">
  <dimension ref="A1:EL50"/>
  <sheetViews>
    <sheetView tabSelected="1" topLeftCell="DY1" zoomScale="117" workbookViewId="0">
      <selection activeCell="EK6" sqref="EK6"/>
    </sheetView>
  </sheetViews>
  <sheetFormatPr baseColWidth="10" defaultRowHeight="16" x14ac:dyDescent="0.2"/>
  <cols>
    <col min="1" max="1" width="10.5" customWidth="1"/>
    <col min="2" max="2" width="18.5" customWidth="1"/>
  </cols>
  <sheetData>
    <row r="1" spans="1:142" ht="49" customHeight="1" x14ac:dyDescent="0.2">
      <c r="A1" t="s">
        <v>0</v>
      </c>
      <c r="B1" t="s">
        <v>1</v>
      </c>
      <c r="C1" t="s">
        <v>2</v>
      </c>
      <c r="F1" t="s">
        <v>4</v>
      </c>
      <c r="O1" t="s">
        <v>11</v>
      </c>
      <c r="X1" t="s">
        <v>12</v>
      </c>
      <c r="AG1" t="s">
        <v>15</v>
      </c>
      <c r="AM1" t="s">
        <v>16</v>
      </c>
      <c r="AS1" t="s">
        <v>18</v>
      </c>
      <c r="AY1" t="s">
        <v>23</v>
      </c>
      <c r="BH1" t="s">
        <v>33</v>
      </c>
      <c r="BQ1" t="s">
        <v>36</v>
      </c>
      <c r="BZ1" t="s">
        <v>46</v>
      </c>
      <c r="CF1" t="s">
        <v>47</v>
      </c>
      <c r="CL1" t="s">
        <v>48</v>
      </c>
      <c r="CR1" t="s">
        <v>49</v>
      </c>
      <c r="CX1" t="s">
        <v>50</v>
      </c>
      <c r="DD1" t="s">
        <v>51</v>
      </c>
      <c r="DJ1" t="s">
        <v>52</v>
      </c>
      <c r="DP1" t="s">
        <v>53</v>
      </c>
      <c r="DV1" t="s">
        <v>54</v>
      </c>
      <c r="EB1" t="s">
        <v>55</v>
      </c>
      <c r="EH1" t="s">
        <v>57</v>
      </c>
    </row>
    <row r="2" spans="1:142" ht="49" customHeight="1" x14ac:dyDescent="0.2">
      <c r="A2">
        <v>1</v>
      </c>
      <c r="B2" s="1" t="s">
        <v>3</v>
      </c>
      <c r="C2">
        <v>1971</v>
      </c>
      <c r="F2">
        <v>58.44</v>
      </c>
      <c r="G2">
        <v>42.393999999999998</v>
      </c>
      <c r="O2">
        <v>84.994699999999995</v>
      </c>
      <c r="P2">
        <v>68.945999999999998</v>
      </c>
      <c r="X2">
        <v>82.034000000000006</v>
      </c>
      <c r="Y2">
        <v>65.98</v>
      </c>
      <c r="AG2">
        <v>42.393999999999998</v>
      </c>
      <c r="AH2">
        <v>208.23</v>
      </c>
      <c r="AM2">
        <v>42.393999999999998</v>
      </c>
      <c r="AN2">
        <v>95.210999999999999</v>
      </c>
      <c r="AS2">
        <v>42.393999999999998</v>
      </c>
      <c r="AT2">
        <v>110.98</v>
      </c>
      <c r="AY2">
        <v>100.46</v>
      </c>
      <c r="AZ2">
        <v>106.39</v>
      </c>
      <c r="BH2">
        <v>100.46</v>
      </c>
      <c r="BI2">
        <v>122.44</v>
      </c>
      <c r="BQ2">
        <v>106.39</v>
      </c>
      <c r="BR2">
        <v>122.44</v>
      </c>
      <c r="BZ2">
        <v>36.46</v>
      </c>
      <c r="CA2">
        <v>58.44</v>
      </c>
      <c r="CF2">
        <v>36.46</v>
      </c>
      <c r="CG2">
        <v>208.23</v>
      </c>
      <c r="CL2">
        <v>36.46</v>
      </c>
      <c r="CM2">
        <v>122.44</v>
      </c>
      <c r="CR2">
        <v>36.46</v>
      </c>
      <c r="CS2">
        <v>336.22</v>
      </c>
      <c r="CX2">
        <v>36.46</v>
      </c>
      <c r="CY2">
        <v>142.04</v>
      </c>
      <c r="DD2">
        <v>42.393999999999998</v>
      </c>
      <c r="DE2">
        <v>74.55</v>
      </c>
      <c r="DJ2">
        <v>42.393999999999998</v>
      </c>
      <c r="DK2">
        <v>168.36</v>
      </c>
      <c r="DP2">
        <v>58.44</v>
      </c>
      <c r="DQ2">
        <v>168.36</v>
      </c>
      <c r="DV2">
        <v>95.21</v>
      </c>
      <c r="DW2">
        <v>58.44</v>
      </c>
      <c r="EB2">
        <v>95.21</v>
      </c>
      <c r="EC2">
        <v>110.98</v>
      </c>
      <c r="EH2">
        <v>53.49</v>
      </c>
      <c r="EI2">
        <v>42.393999999999998</v>
      </c>
    </row>
    <row r="3" spans="1:142" ht="49" customHeight="1" x14ac:dyDescent="0.2">
      <c r="A3">
        <v>2</v>
      </c>
      <c r="B3" t="s">
        <v>13</v>
      </c>
      <c r="C3">
        <v>2010</v>
      </c>
      <c r="F3">
        <f>F2/1000</f>
        <v>5.8439999999999999E-2</v>
      </c>
      <c r="G3">
        <f>G2/1000</f>
        <v>4.2394000000000001E-2</v>
      </c>
      <c r="O3">
        <f>O2/1000</f>
        <v>8.4994699999999992E-2</v>
      </c>
      <c r="P3">
        <f>P2/1000</f>
        <v>6.8945999999999993E-2</v>
      </c>
      <c r="X3">
        <f>X2/1000</f>
        <v>8.203400000000001E-2</v>
      </c>
      <c r="Y3">
        <f>Y2/1000</f>
        <v>6.5980000000000011E-2</v>
      </c>
      <c r="AG3">
        <f>AG2/1000</f>
        <v>4.2394000000000001E-2</v>
      </c>
      <c r="AH3">
        <f>AH2/1000</f>
        <v>0.20823</v>
      </c>
      <c r="AM3">
        <f>AM2/1000</f>
        <v>4.2394000000000001E-2</v>
      </c>
      <c r="AN3">
        <f>AN2/1000</f>
        <v>9.5211000000000004E-2</v>
      </c>
      <c r="AS3">
        <f>AS2/1000</f>
        <v>4.2394000000000001E-2</v>
      </c>
      <c r="AT3">
        <f>AT2/1000</f>
        <v>0.11098000000000001</v>
      </c>
      <c r="AY3">
        <f>AY2/1000</f>
        <v>0.10045999999999999</v>
      </c>
      <c r="AZ3">
        <f>AZ2/1000</f>
        <v>0.10639</v>
      </c>
      <c r="BH3">
        <f>BH2/1000</f>
        <v>0.10045999999999999</v>
      </c>
      <c r="BI3">
        <f>BI2/1000</f>
        <v>0.12243999999999999</v>
      </c>
      <c r="BQ3">
        <f>BQ2/1000</f>
        <v>0.10639</v>
      </c>
      <c r="BR3">
        <f>BR2/1000</f>
        <v>0.12243999999999999</v>
      </c>
      <c r="BZ3">
        <f>BZ2/1000</f>
        <v>3.6459999999999999E-2</v>
      </c>
      <c r="CA3">
        <f>CA2/1000</f>
        <v>5.8439999999999999E-2</v>
      </c>
      <c r="CF3">
        <f>CF2/1000</f>
        <v>3.6459999999999999E-2</v>
      </c>
      <c r="CG3">
        <f>CG2/1000</f>
        <v>0.20823</v>
      </c>
      <c r="CL3">
        <f>CL2/1000</f>
        <v>3.6459999999999999E-2</v>
      </c>
      <c r="CM3">
        <f>CM2/1000</f>
        <v>0.12243999999999999</v>
      </c>
      <c r="CR3">
        <f>CR2/1000</f>
        <v>3.6459999999999999E-2</v>
      </c>
      <c r="CS3">
        <f>CS2/1000</f>
        <v>0.33622000000000002</v>
      </c>
      <c r="CX3">
        <f>CX2/1000</f>
        <v>3.6459999999999999E-2</v>
      </c>
      <c r="CY3">
        <f>CY2/1000</f>
        <v>0.14204</v>
      </c>
      <c r="DD3">
        <f>DD2/1000</f>
        <v>4.2394000000000001E-2</v>
      </c>
      <c r="DE3">
        <f>DE2/1000</f>
        <v>7.4549999999999991E-2</v>
      </c>
      <c r="DJ3">
        <f>DJ2/1000</f>
        <v>4.2394000000000001E-2</v>
      </c>
      <c r="DK3">
        <f>DK2/1000</f>
        <v>0.16836000000000001</v>
      </c>
      <c r="DP3">
        <f>DP2/1000</f>
        <v>5.8439999999999999E-2</v>
      </c>
      <c r="DQ3">
        <f>DQ2/1000</f>
        <v>0.16836000000000001</v>
      </c>
      <c r="DV3">
        <f>DV2/1000</f>
        <v>9.5209999999999989E-2</v>
      </c>
      <c r="DW3">
        <f>DW2/1000</f>
        <v>5.8439999999999999E-2</v>
      </c>
      <c r="EB3">
        <f>EB2/1000</f>
        <v>9.5209999999999989E-2</v>
      </c>
      <c r="EC3">
        <f>EC2/1000</f>
        <v>0.11098000000000001</v>
      </c>
      <c r="EH3">
        <f>EH2/1000</f>
        <v>5.3490000000000003E-2</v>
      </c>
      <c r="EI3">
        <f>EI2/1000</f>
        <v>4.2394000000000001E-2</v>
      </c>
    </row>
    <row r="4" spans="1:142" ht="49" customHeight="1" x14ac:dyDescent="0.2">
      <c r="A4">
        <v>3</v>
      </c>
      <c r="B4" t="s">
        <v>22</v>
      </c>
      <c r="C4">
        <v>1968</v>
      </c>
    </row>
    <row r="5" spans="1:142" ht="49" customHeight="1" x14ac:dyDescent="0.2">
      <c r="A5">
        <v>4</v>
      </c>
      <c r="B5" t="s">
        <v>37</v>
      </c>
      <c r="C5">
        <v>1976</v>
      </c>
      <c r="F5" t="s">
        <v>26</v>
      </c>
      <c r="G5" t="s">
        <v>28</v>
      </c>
      <c r="H5" t="s">
        <v>5</v>
      </c>
      <c r="I5" t="s">
        <v>6</v>
      </c>
      <c r="J5" t="s">
        <v>9</v>
      </c>
      <c r="K5" t="s">
        <v>10</v>
      </c>
      <c r="L5" t="s">
        <v>7</v>
      </c>
      <c r="M5" t="s">
        <v>8</v>
      </c>
      <c r="O5" t="s">
        <v>26</v>
      </c>
      <c r="P5" t="s">
        <v>29</v>
      </c>
      <c r="Q5" t="s">
        <v>20</v>
      </c>
      <c r="R5" t="s">
        <v>21</v>
      </c>
      <c r="S5" t="s">
        <v>9</v>
      </c>
      <c r="T5" t="s">
        <v>10</v>
      </c>
      <c r="U5" t="s">
        <v>7</v>
      </c>
      <c r="V5" t="s">
        <v>8</v>
      </c>
      <c r="X5" t="s">
        <v>26</v>
      </c>
      <c r="Y5" t="s">
        <v>30</v>
      </c>
      <c r="Z5" t="s">
        <v>31</v>
      </c>
      <c r="AA5" t="s">
        <v>32</v>
      </c>
      <c r="AB5" t="s">
        <v>9</v>
      </c>
      <c r="AC5" t="s">
        <v>10</v>
      </c>
      <c r="AD5" t="s">
        <v>7</v>
      </c>
      <c r="AE5" t="s">
        <v>8</v>
      </c>
      <c r="AG5" t="s">
        <v>6</v>
      </c>
      <c r="AH5" t="s">
        <v>14</v>
      </c>
      <c r="AI5" t="s">
        <v>9</v>
      </c>
      <c r="AJ5" t="s">
        <v>10</v>
      </c>
      <c r="AK5" t="s">
        <v>8</v>
      </c>
      <c r="AM5" t="s">
        <v>6</v>
      </c>
      <c r="AN5" t="s">
        <v>17</v>
      </c>
      <c r="AO5" t="s">
        <v>9</v>
      </c>
      <c r="AP5" t="s">
        <v>10</v>
      </c>
      <c r="AQ5" t="s">
        <v>8</v>
      </c>
      <c r="AS5" t="s">
        <v>6</v>
      </c>
      <c r="AT5" t="s">
        <v>19</v>
      </c>
      <c r="AU5" t="s">
        <v>9</v>
      </c>
      <c r="AV5" t="s">
        <v>10</v>
      </c>
      <c r="AW5" t="s">
        <v>8</v>
      </c>
      <c r="AY5" t="s">
        <v>26</v>
      </c>
      <c r="AZ5" t="s">
        <v>27</v>
      </c>
      <c r="BA5" t="s">
        <v>24</v>
      </c>
      <c r="BB5" t="s">
        <v>25</v>
      </c>
      <c r="BC5" t="s">
        <v>9</v>
      </c>
      <c r="BD5" t="s">
        <v>10</v>
      </c>
      <c r="BE5" t="s">
        <v>7</v>
      </c>
      <c r="BF5" t="s">
        <v>8</v>
      </c>
      <c r="BH5" t="s">
        <v>26</v>
      </c>
      <c r="BI5" t="s">
        <v>34</v>
      </c>
      <c r="BJ5" t="s">
        <v>24</v>
      </c>
      <c r="BK5" t="s">
        <v>35</v>
      </c>
      <c r="BL5" t="s">
        <v>9</v>
      </c>
      <c r="BM5" t="s">
        <v>10</v>
      </c>
      <c r="BN5" t="s">
        <v>7</v>
      </c>
      <c r="BO5" t="s">
        <v>8</v>
      </c>
      <c r="BQ5" t="s">
        <v>26</v>
      </c>
      <c r="BR5" t="s">
        <v>34</v>
      </c>
      <c r="BS5" t="s">
        <v>25</v>
      </c>
      <c r="BT5" t="s">
        <v>35</v>
      </c>
      <c r="BU5" t="s">
        <v>9</v>
      </c>
      <c r="BV5" t="s">
        <v>10</v>
      </c>
      <c r="BW5" t="s">
        <v>7</v>
      </c>
      <c r="BX5" t="s">
        <v>8</v>
      </c>
      <c r="BZ5" t="s">
        <v>38</v>
      </c>
      <c r="CA5" t="s">
        <v>5</v>
      </c>
      <c r="CB5" t="s">
        <v>9</v>
      </c>
      <c r="CC5" t="s">
        <v>10</v>
      </c>
      <c r="CD5" t="s">
        <v>8</v>
      </c>
      <c r="CF5" t="s">
        <v>38</v>
      </c>
      <c r="CG5" t="s">
        <v>14</v>
      </c>
      <c r="CH5" t="s">
        <v>9</v>
      </c>
      <c r="CI5" t="s">
        <v>10</v>
      </c>
      <c r="CJ5" t="s">
        <v>8</v>
      </c>
      <c r="CL5" t="s">
        <v>38</v>
      </c>
      <c r="CM5" t="s">
        <v>14</v>
      </c>
      <c r="CN5" t="s">
        <v>9</v>
      </c>
      <c r="CO5" t="s">
        <v>10</v>
      </c>
      <c r="CP5" t="s">
        <v>8</v>
      </c>
      <c r="CR5" t="s">
        <v>38</v>
      </c>
      <c r="CS5" t="s">
        <v>39</v>
      </c>
      <c r="CT5" t="s">
        <v>9</v>
      </c>
      <c r="CU5" t="s">
        <v>10</v>
      </c>
      <c r="CV5" t="s">
        <v>8</v>
      </c>
      <c r="CX5" t="s">
        <v>38</v>
      </c>
      <c r="CY5" t="s">
        <v>40</v>
      </c>
      <c r="CZ5" t="s">
        <v>9</v>
      </c>
      <c r="DA5" t="s">
        <v>10</v>
      </c>
      <c r="DB5" t="s">
        <v>8</v>
      </c>
      <c r="DD5" t="s">
        <v>6</v>
      </c>
      <c r="DE5" t="s">
        <v>42</v>
      </c>
      <c r="DF5" t="s">
        <v>9</v>
      </c>
      <c r="DG5" t="s">
        <v>10</v>
      </c>
      <c r="DH5" t="s">
        <v>8</v>
      </c>
      <c r="DJ5" t="s">
        <v>6</v>
      </c>
      <c r="DK5" t="s">
        <v>44</v>
      </c>
      <c r="DL5" t="s">
        <v>9</v>
      </c>
      <c r="DM5" t="s">
        <v>10</v>
      </c>
      <c r="DN5" t="s">
        <v>8</v>
      </c>
      <c r="DP5" t="s">
        <v>5</v>
      </c>
      <c r="DQ5" t="s">
        <v>44</v>
      </c>
      <c r="DR5" t="s">
        <v>9</v>
      </c>
      <c r="DS5" t="s">
        <v>10</v>
      </c>
      <c r="DT5" t="s">
        <v>8</v>
      </c>
      <c r="DV5" t="s">
        <v>17</v>
      </c>
      <c r="DW5" t="s">
        <v>5</v>
      </c>
      <c r="DX5" t="s">
        <v>9</v>
      </c>
      <c r="DY5" t="s">
        <v>10</v>
      </c>
      <c r="DZ5" t="s">
        <v>8</v>
      </c>
      <c r="EB5" t="s">
        <v>17</v>
      </c>
      <c r="EC5" t="s">
        <v>19</v>
      </c>
      <c r="ED5" t="s">
        <v>9</v>
      </c>
      <c r="EE5" t="s">
        <v>10</v>
      </c>
      <c r="EF5" t="s">
        <v>8</v>
      </c>
      <c r="EH5" t="s">
        <v>58</v>
      </c>
      <c r="EI5" t="s">
        <v>6</v>
      </c>
      <c r="EJ5" t="s">
        <v>9</v>
      </c>
      <c r="EK5" t="s">
        <v>10</v>
      </c>
      <c r="EL5" t="s">
        <v>8</v>
      </c>
    </row>
    <row r="6" spans="1:142" ht="49" customHeight="1" x14ac:dyDescent="0.2">
      <c r="A6">
        <v>5</v>
      </c>
      <c r="B6" t="s">
        <v>41</v>
      </c>
      <c r="C6">
        <v>2003</v>
      </c>
      <c r="F6">
        <v>0.50970000000000004</v>
      </c>
      <c r="G6">
        <v>0.80600000000000005</v>
      </c>
      <c r="H6">
        <f>F6*(1-G6)</f>
        <v>9.8881799999999978E-2</v>
      </c>
      <c r="I6">
        <f>F6*G6</f>
        <v>0.41081820000000008</v>
      </c>
      <c r="J6">
        <f>$F$3*H6/(1+$F$3*H6)</f>
        <v>5.7454514253776207E-3</v>
      </c>
      <c r="K6">
        <f>$G$3*I6/(1+$G$3*I6)</f>
        <v>1.7118094161007982E-2</v>
      </c>
      <c r="L6">
        <v>0.95440000000000003</v>
      </c>
      <c r="M6">
        <f>EXP(-L6*(H6*2+I6*2)/55.51)</f>
        <v>0.98262585328484908</v>
      </c>
      <c r="O6">
        <v>0.48320000000000002</v>
      </c>
      <c r="P6">
        <v>0.56440000000000001</v>
      </c>
      <c r="Q6">
        <f>O6*(1-P6)</f>
        <v>0.21048191999999999</v>
      </c>
      <c r="R6">
        <f>O6*P6</f>
        <v>0.27271808000000003</v>
      </c>
      <c r="S6">
        <f>$O$3*Q6/(1+$O$3*Q6)</f>
        <v>1.7575425953210599E-2</v>
      </c>
      <c r="T6">
        <f>$P$3*R6/(1+$P$3*R6)</f>
        <v>1.8455799651158008E-2</v>
      </c>
      <c r="U6">
        <v>0.92010000000000003</v>
      </c>
      <c r="V6">
        <f>EXP(-U6*(Q6*2+R6*2)/55.51)</f>
        <v>0.98410915455518344</v>
      </c>
      <c r="X6">
        <v>0.45600000000000002</v>
      </c>
      <c r="Y6">
        <v>0.49880000000000002</v>
      </c>
      <c r="Z6">
        <f>X6*(1-Y6)</f>
        <v>0.22854720000000001</v>
      </c>
      <c r="AA6">
        <f>X6*Y6</f>
        <v>0.22745280000000001</v>
      </c>
      <c r="AB6">
        <f>$X$3*Z6/(1+$X$3*Z6)</f>
        <v>1.8403598542529657E-2</v>
      </c>
      <c r="AC6">
        <f>$Y$3*AA6/(1+$Y$3*AA6)</f>
        <v>1.4785445597789331E-2</v>
      </c>
      <c r="AD6">
        <v>0.94589999999999996</v>
      </c>
      <c r="AE6">
        <f>EXP(-AD6*(Z6*2+AA6*2)/55.51)</f>
        <v>0.98457949487002472</v>
      </c>
      <c r="AG6">
        <v>0.12</v>
      </c>
      <c r="AH6">
        <v>0.16</v>
      </c>
      <c r="AI6">
        <f>$AG$3*AG6/(1+$AG$3*AG6)</f>
        <v>5.0615305767276247E-3</v>
      </c>
      <c r="AJ6">
        <f>$AH$3*AH6/(1+$AH$3*AH6)</f>
        <v>3.2242580397415392E-2</v>
      </c>
      <c r="AK6">
        <v>0.98860000000000003</v>
      </c>
      <c r="AM6">
        <v>0.19</v>
      </c>
      <c r="AN6">
        <v>0.25</v>
      </c>
      <c r="AO6">
        <f>$AM$3*AM6/(1+$AM$3*AM6)</f>
        <v>7.990497660018225E-3</v>
      </c>
      <c r="AP6">
        <f>$AN$3*AN6/(1+$AN$3*AN6)</f>
        <v>2.3249351498616313E-2</v>
      </c>
      <c r="AQ6">
        <v>0.98099999999999998</v>
      </c>
      <c r="AS6">
        <v>0.09</v>
      </c>
      <c r="AT6">
        <v>0.11</v>
      </c>
      <c r="AU6">
        <f>$AS$3*AS6/(1+$AS$3*AS6)</f>
        <v>3.800957598321907E-3</v>
      </c>
      <c r="AV6">
        <f>$AT$3*AT6/(1+$AT$3*AT6)</f>
        <v>1.2060567010054654E-2</v>
      </c>
      <c r="AW6">
        <v>0.99199999999999999</v>
      </c>
      <c r="AY6">
        <v>4.4223999999999997</v>
      </c>
      <c r="AZ6">
        <v>0.25090000000000001</v>
      </c>
      <c r="BA6">
        <f>AY6*(1-AZ6)</f>
        <v>3.3128198399999995</v>
      </c>
      <c r="BB6">
        <f>AY6*AZ6</f>
        <v>1.1095801599999999</v>
      </c>
      <c r="BC6">
        <f>$AY$3*BA6/(1+$AY$3*BA6)</f>
        <v>0.24970319071906727</v>
      </c>
      <c r="BD6">
        <f>$AZ$3*BB6/(1+$AZ$3*BB6)</f>
        <v>0.10558420443290309</v>
      </c>
      <c r="BE6">
        <v>1.7144999999999999</v>
      </c>
      <c r="BF6">
        <f>EXP(-BE6*(BA6*2+BB6*2)/55.51)</f>
        <v>0.76095322881443628</v>
      </c>
      <c r="BH6">
        <v>9.5587999999999997</v>
      </c>
      <c r="BI6">
        <v>0.24859999999999999</v>
      </c>
      <c r="BJ6">
        <f>BH6*(1-BI6)</f>
        <v>7.1824823200000001</v>
      </c>
      <c r="BK6">
        <f>BH6*BI6</f>
        <v>2.3763176799999997</v>
      </c>
      <c r="BL6">
        <f>$BH$3*BJ6/(1+$BH$3*BJ6)</f>
        <v>0.41912884478333579</v>
      </c>
      <c r="BM6">
        <f>$BI$3*BK6/(1+$BI$3*BK6)</f>
        <v>0.22538046288546099</v>
      </c>
      <c r="BN6">
        <v>2.3548</v>
      </c>
      <c r="BO6">
        <f>EXP(-BN6*(BJ6*2+BK6*2)/55.51)</f>
        <v>0.44441731760498682</v>
      </c>
      <c r="BQ6">
        <v>4.6958000000000002</v>
      </c>
      <c r="BR6">
        <v>0.25090000000000001</v>
      </c>
      <c r="BS6">
        <f>BQ6*(1-BR6)</f>
        <v>3.5176237800000001</v>
      </c>
      <c r="BT6">
        <f>BQ6*BR6</f>
        <v>1.1781762200000001</v>
      </c>
      <c r="BU6">
        <f>$BQ$3*BS6/(1+$BQ$3*BS6)</f>
        <v>0.27232506374477738</v>
      </c>
      <c r="BV6">
        <f>$BR$3*BT6/(1+$BR$3*BT6)</f>
        <v>0.12606961155592505</v>
      </c>
      <c r="BW6">
        <v>1.5331999999999999</v>
      </c>
      <c r="BX6">
        <f>EXP(-BW6*(BS6*2+BT6*2)/55.51)</f>
        <v>0.77151564648027993</v>
      </c>
      <c r="BZ6">
        <v>0.4793</v>
      </c>
      <c r="CA6">
        <v>0.46250000000000002</v>
      </c>
      <c r="CB6">
        <f>$BZ$3*BZ6/(1+$BZ$3*BZ6)</f>
        <v>1.7175137694107199E-2</v>
      </c>
      <c r="CC6">
        <f>$CA$3*CA6/(1+$CA$3*CA6)</f>
        <v>2.6317185939825433E-2</v>
      </c>
      <c r="CD6" s="2">
        <v>0.96499999999999997</v>
      </c>
      <c r="CF6">
        <v>0.35849999999999999</v>
      </c>
      <c r="CG6">
        <v>0.60919999999999996</v>
      </c>
      <c r="CH6">
        <f>$CF$3*CF6/(1+$CF$3*CF6)</f>
        <v>1.2902265646932849E-2</v>
      </c>
      <c r="CI6">
        <f>$CG$3*CG6/(1+$CG$3*CG6)</f>
        <v>0.11257336617772666</v>
      </c>
      <c r="CJ6">
        <v>0.95699999999999996</v>
      </c>
      <c r="CL6">
        <v>0.50919999999999999</v>
      </c>
      <c r="CM6">
        <v>0.51170000000000004</v>
      </c>
      <c r="CN6">
        <f>$CL$3*CL6/(1+$CL$3*CL6)</f>
        <v>1.822703914420689E-2</v>
      </c>
      <c r="CO6">
        <f>$CM$3*CM6/(1+$CM$3*CM6)</f>
        <v>5.8958639037677257E-2</v>
      </c>
      <c r="CP6">
        <v>0.96399999999999997</v>
      </c>
      <c r="CR6">
        <v>0.4793</v>
      </c>
      <c r="CS6">
        <v>0.77010000000000001</v>
      </c>
      <c r="CT6">
        <f>$CR$3*CR6/(1+$CR$3*CR6)</f>
        <v>1.7175137694107199E-2</v>
      </c>
      <c r="CU6">
        <f>$CS$3*CS6/(1+$CS$3*CS6)</f>
        <v>0.20567025741467454</v>
      </c>
      <c r="CV6">
        <v>0.93799999999999994</v>
      </c>
      <c r="CX6">
        <v>9.8599999999999993E-2</v>
      </c>
      <c r="CY6">
        <v>0.10050000000000001</v>
      </c>
      <c r="CZ6">
        <f>$CX$3*CX6/(1+$CX$3*CX6)</f>
        <v>3.5820785850980306E-3</v>
      </c>
      <c r="DA6">
        <f>$CY$3*CY6/(1+$CY$3*CY6)</f>
        <v>1.4074111772958781E-2</v>
      </c>
      <c r="DB6">
        <v>0.99399999999999999</v>
      </c>
      <c r="DD6">
        <v>0.1</v>
      </c>
      <c r="DE6">
        <v>0.2</v>
      </c>
      <c r="DF6">
        <f>$DD$3*DD6/(1+$DD$3*DD6)</f>
        <v>4.2215033586612914E-3</v>
      </c>
      <c r="DG6">
        <f>$DE$3*DE6/(1+$DE$3*DE6)</f>
        <v>1.4690957818919903E-2</v>
      </c>
      <c r="DH6">
        <v>0.99</v>
      </c>
      <c r="DJ6">
        <v>0.4</v>
      </c>
      <c r="DK6">
        <v>0.2</v>
      </c>
      <c r="DL6">
        <f>$DJ$3*DJ6/(1+$DJ$3*DJ6)</f>
        <v>1.6674834821038754E-2</v>
      </c>
      <c r="DM6">
        <f>$DK$3*DK6/(1+$DK$3*DK6)</f>
        <v>3.2575130215387472E-2</v>
      </c>
      <c r="DN6">
        <v>0.97899999999999998</v>
      </c>
      <c r="DP6">
        <v>0.4</v>
      </c>
      <c r="DQ6">
        <v>0.2</v>
      </c>
      <c r="DR6">
        <f>$DP$3*DP6/(1+$DP$3*DP6)</f>
        <v>2.2842044370788447E-2</v>
      </c>
      <c r="DS6">
        <f>$DQ$3*DQ6/(1+$DQ$3*DQ6)</f>
        <v>3.2575130215387472E-2</v>
      </c>
      <c r="DT6">
        <v>0.98099999999999998</v>
      </c>
      <c r="DV6">
        <v>0.1</v>
      </c>
      <c r="DW6">
        <v>0.6</v>
      </c>
      <c r="DX6">
        <f>$DV$3*DV6/(1+$DV$3*DV6)</f>
        <v>9.4312054925058536E-3</v>
      </c>
      <c r="DY6">
        <f>$DW$3*DW6/(1+$DW$3*DW6)</f>
        <v>3.3876166111467501E-2</v>
      </c>
      <c r="DZ6">
        <v>0.97350000000000003</v>
      </c>
      <c r="EB6" s="2">
        <v>0.1</v>
      </c>
      <c r="EC6" s="2">
        <v>0.2</v>
      </c>
      <c r="ED6">
        <f>$EB$3*EB6/(1+$EB$3*EB6)</f>
        <v>9.4312054925058536E-3</v>
      </c>
      <c r="EE6">
        <f>$EC$3*EC6/(1+$EC$3*EC6)</f>
        <v>2.1714035273078747E-2</v>
      </c>
      <c r="EF6">
        <v>0.98499999999999999</v>
      </c>
      <c r="EH6">
        <v>0.1</v>
      </c>
      <c r="EI6">
        <v>0.2</v>
      </c>
      <c r="EJ6">
        <f>$EH$3*EH6/(1+$EH$3*EH6)</f>
        <v>5.320540429243974E-3</v>
      </c>
      <c r="EK6">
        <f>$EI$3*EI6/(1+$EI$3*EI6)</f>
        <v>8.4075143671835245E-3</v>
      </c>
      <c r="EL6">
        <v>0.99</v>
      </c>
    </row>
    <row r="7" spans="1:142" ht="49" customHeight="1" x14ac:dyDescent="0.2">
      <c r="A7">
        <v>6</v>
      </c>
      <c r="B7" t="s">
        <v>43</v>
      </c>
      <c r="C7">
        <v>2004</v>
      </c>
      <c r="F7">
        <v>0.51329999999999998</v>
      </c>
      <c r="G7">
        <v>0.60660000000000003</v>
      </c>
      <c r="H7">
        <f t="shared" ref="H7:H41" si="0">F7*(1-G7)</f>
        <v>0.20193221999999997</v>
      </c>
      <c r="I7">
        <f t="shared" ref="I7:I41" si="1">F7*G7</f>
        <v>0.31136777999999998</v>
      </c>
      <c r="J7">
        <f t="shared" ref="J7:J41" si="2">$F$3*H7/(1+$F$3*H7)</f>
        <v>1.1663281497313126E-2</v>
      </c>
      <c r="K7">
        <f t="shared" ref="K7:K41" si="3">$G$3*I7/(1+$G$3*I7)</f>
        <v>1.3028152416238704E-2</v>
      </c>
      <c r="L7">
        <v>0.94769999999999999</v>
      </c>
      <c r="M7">
        <f t="shared" ref="M7:M41" si="4">EXP(-L7*(H7*2+I7*2)/55.51)</f>
        <v>0.9826259690545025</v>
      </c>
      <c r="O7">
        <v>0.52980000000000005</v>
      </c>
      <c r="P7">
        <v>0.49490000000000001</v>
      </c>
      <c r="Q7">
        <f t="shared" ref="Q7:Q31" si="5">O7*(1-P7)</f>
        <v>0.26760198000000002</v>
      </c>
      <c r="R7">
        <f t="shared" ref="R7:R31" si="6">O7*P7</f>
        <v>0.26219802000000003</v>
      </c>
      <c r="S7">
        <f t="shared" ref="S7:S31" si="7">$O$3*Q7/(1+$O$3*Q7)</f>
        <v>2.2238931081576901E-2</v>
      </c>
      <c r="T7">
        <f t="shared" ref="T7:T31" si="8">$P$3*R7/(1+$P$3*R7)</f>
        <v>1.7756511271191686E-2</v>
      </c>
      <c r="U7">
        <v>0.91479999999999995</v>
      </c>
      <c r="V7">
        <f t="shared" ref="V7:V31" si="9">EXP(-U7*(Q7*2+R7*2)/55.51)</f>
        <v>0.98268946279859903</v>
      </c>
      <c r="X7">
        <v>0.93149999999999999</v>
      </c>
      <c r="Y7">
        <v>0.4929</v>
      </c>
      <c r="Z7">
        <f t="shared" ref="Z7:Z31" si="10">X7*(1-Y7)</f>
        <v>0.47236364999999997</v>
      </c>
      <c r="AA7">
        <f t="shared" ref="AA7:AA31" si="11">X7*Y7</f>
        <v>0.45913635000000003</v>
      </c>
      <c r="AB7">
        <f t="shared" ref="AB7:AB31" si="12">$X$3*Z7/(1+$X$3*Z7)</f>
        <v>3.7304340941662045E-2</v>
      </c>
      <c r="AC7">
        <f t="shared" ref="AC7:AC31" si="13">$Y$3*AA7/(1+$Y$3*AA7)</f>
        <v>2.9403084723583991E-2</v>
      </c>
      <c r="AD7">
        <v>0.98229999999999995</v>
      </c>
      <c r="AE7">
        <f t="shared" ref="AE7:AE31" si="14">EXP(-AD7*(Z7*2+AA7*2)/55.51)</f>
        <v>0.96757002296952266</v>
      </c>
      <c r="AG7">
        <v>0.15</v>
      </c>
      <c r="AH7">
        <v>0.2</v>
      </c>
      <c r="AI7">
        <f t="shared" ref="AI7:AI33" si="15">$AG$3*AG7/(1+$AG$3*AG7)</f>
        <v>6.3189173725363042E-3</v>
      </c>
      <c r="AJ7">
        <f t="shared" ref="AJ7:AJ33" si="16">$AH$3*AH7/(1+$AH$3*AH7)</f>
        <v>3.9980953222111926E-2</v>
      </c>
      <c r="AK7">
        <v>0.9859</v>
      </c>
      <c r="AM7">
        <v>0.39</v>
      </c>
      <c r="AN7">
        <v>0.51</v>
      </c>
      <c r="AO7">
        <f t="shared" ref="AO7:AO39" si="17">$AM$3*AM7/(1+$AM$3*AM7)</f>
        <v>1.6264744248606588E-2</v>
      </c>
      <c r="AP7">
        <f t="shared" ref="AP7:AP39" si="18">$AN$3*AN7/(1+$AN$3*AN7)</f>
        <v>4.6308957692844363E-2</v>
      </c>
      <c r="AQ7">
        <v>0.95799999999999996</v>
      </c>
      <c r="AS7">
        <v>0.13</v>
      </c>
      <c r="AT7">
        <v>0.17</v>
      </c>
      <c r="AU7">
        <f t="shared" ref="AU7:AU48" si="19">$AS$3*AS7/(1+$AS$3*AS7)</f>
        <v>5.4810129319094025E-3</v>
      </c>
      <c r="AV7">
        <f t="shared" ref="AV7:AV48" si="20">$AT$3*AT7/(1+$AT$3*AT7)</f>
        <v>1.8517242590933892E-2</v>
      </c>
      <c r="AW7">
        <v>0.98699999999999999</v>
      </c>
      <c r="AY7">
        <v>4.4366000000000003</v>
      </c>
      <c r="AZ7">
        <v>0.49969999999999998</v>
      </c>
      <c r="BA7">
        <f>AY7*(1-AZ7)</f>
        <v>2.2196309799999998</v>
      </c>
      <c r="BB7">
        <f>AY7*AZ7</f>
        <v>2.2169690200000001</v>
      </c>
      <c r="BC7">
        <f t="shared" ref="BC7:BC20" si="21">$AY$3*BA7/(1+$AY$3*BA7)</f>
        <v>0.18232790033810817</v>
      </c>
      <c r="BD7">
        <f t="shared" ref="BD7:BD20" si="22">$AZ$3*BB7/(1+$AZ$3*BB7)</f>
        <v>0.19084904256135646</v>
      </c>
      <c r="BE7">
        <v>1.7090000000000001</v>
      </c>
      <c r="BF7">
        <f t="shared" ref="BF7:BF20" si="23">EXP(-BE7*(BA7*2+BB7*2)/55.51)</f>
        <v>0.76095474770656202</v>
      </c>
      <c r="BH7">
        <v>11.3156</v>
      </c>
      <c r="BI7">
        <v>0.50049999999999994</v>
      </c>
      <c r="BJ7">
        <f t="shared" ref="BJ7:BJ47" si="24">BH7*(1-BI7)</f>
        <v>5.652142200000001</v>
      </c>
      <c r="BK7">
        <f t="shared" ref="BK7:BK47" si="25">BH7*BI7</f>
        <v>5.6634577999999989</v>
      </c>
      <c r="BL7">
        <f t="shared" ref="BL7:BL47" si="26">$BH$3*BJ7/(1+$BH$3*BJ7)</f>
        <v>0.36216932047939082</v>
      </c>
      <c r="BM7">
        <f t="shared" ref="BM7:BM47" si="27">$BI$3*BK7/(1+$BI$3*BK7)</f>
        <v>0.40948384523502496</v>
      </c>
      <c r="BN7">
        <v>1.9892000000000001</v>
      </c>
      <c r="BO7">
        <f t="shared" ref="BO7:BO47" si="28">EXP(-BN7*(BJ7*2+BK7*2)/55.51)</f>
        <v>0.44441844998591784</v>
      </c>
      <c r="BQ7">
        <v>5.1715</v>
      </c>
      <c r="BR7">
        <v>0.49819999999999998</v>
      </c>
      <c r="BS7">
        <f t="shared" ref="BS7:BS38" si="29">BQ7*(1-BR7)</f>
        <v>2.5950587000000001</v>
      </c>
      <c r="BT7">
        <f t="shared" ref="BT7:BT38" si="30">BQ7*BR7</f>
        <v>2.5764412999999999</v>
      </c>
      <c r="BU7">
        <f t="shared" ref="BU7:BU38" si="31">$BQ$3*BS7/(1+$BQ$3*BS7)</f>
        <v>0.21635516613909461</v>
      </c>
      <c r="BV7">
        <f t="shared" ref="BV7:BV38" si="32">$BR$3*BT7/(1+$BR$3*BT7)</f>
        <v>0.23980934365636403</v>
      </c>
      <c r="BW7">
        <v>1.3922000000000001</v>
      </c>
      <c r="BX7">
        <f t="shared" ref="BX7:BX38" si="33">EXP(-BW7*(BS7*2+BT7*2)/55.51)</f>
        <v>0.77151115054884145</v>
      </c>
      <c r="BZ7">
        <v>0.4793</v>
      </c>
      <c r="CA7">
        <v>0.96870000000000001</v>
      </c>
      <c r="CB7">
        <f t="shared" ref="CB7:CB15" si="34">$BZ$3*BZ7/(1+$BZ$3*BZ7)</f>
        <v>1.7175137694107199E-2</v>
      </c>
      <c r="CC7">
        <f t="shared" ref="CC7:CC15" si="35">$CA$3*CA7/(1+$CA$3*CA7)</f>
        <v>5.3577747359598332E-2</v>
      </c>
      <c r="CD7" s="2">
        <v>0.95299999999999996</v>
      </c>
      <c r="CF7">
        <v>0.49099999999999999</v>
      </c>
      <c r="CG7">
        <v>0.15190000000000001</v>
      </c>
      <c r="CH7">
        <f t="shared" ref="CH7:CH17" si="36">$CF$3*CF7/(1+$CF$3*CF7)</f>
        <v>1.7587019636647484E-2</v>
      </c>
      <c r="CI7">
        <f t="shared" ref="CI7:CI17" si="37">$CG$3*CG7/(1+$CG$3*CG7)</f>
        <v>3.0660346053849336E-2</v>
      </c>
      <c r="CJ7">
        <v>0.97499999999999998</v>
      </c>
      <c r="CL7">
        <v>0.50919999999999999</v>
      </c>
      <c r="CM7">
        <v>1.0129999999999999</v>
      </c>
      <c r="CN7">
        <f t="shared" ref="CN7:CN12" si="38">$CL$3*CL7/(1+$CL$3*CL7)</f>
        <v>1.822703914420689E-2</v>
      </c>
      <c r="CO7">
        <f t="shared" ref="CO7:CO12" si="39">$CM$3*CM7/(1+$CM$3*CM7)</f>
        <v>0.11034539132045133</v>
      </c>
      <c r="CP7">
        <v>0.94399999999999995</v>
      </c>
      <c r="CR7">
        <v>0.4793</v>
      </c>
      <c r="CS7">
        <v>1.7330000000000001</v>
      </c>
      <c r="CT7">
        <f t="shared" ref="CT7:CT17" si="40">$CR$3*CR7/(1+$CR$3*CR7)</f>
        <v>1.7175137694107199E-2</v>
      </c>
      <c r="CU7">
        <f t="shared" ref="CU7:CU17" si="41">$CS$3*CS7/(1+$CS$3*CS7)</f>
        <v>0.36815604796671164</v>
      </c>
      <c r="CV7">
        <v>0.86399999999999999</v>
      </c>
      <c r="CX7">
        <v>9.8599999999999993E-2</v>
      </c>
      <c r="CY7">
        <v>0.60299999999999998</v>
      </c>
      <c r="CZ7">
        <f t="shared" ref="CZ7:CZ18" si="42">$CX$3*CX7/(1+$CX$3*CX7)</f>
        <v>3.5820785850980306E-3</v>
      </c>
      <c r="DA7">
        <f t="shared" ref="DA7:DA18" si="43">$CY$3*CY7/(1+$CY$3*CY7)</f>
        <v>7.8892930993274338E-2</v>
      </c>
      <c r="DB7">
        <v>0.97499999999999998</v>
      </c>
      <c r="DD7">
        <v>0.13</v>
      </c>
      <c r="DE7">
        <v>0.67</v>
      </c>
      <c r="DF7">
        <f t="shared" ref="DF7:DF50" si="44">$DD$3*DD7/(1+$DD$3*DD7)</f>
        <v>5.4810129319094025E-3</v>
      </c>
      <c r="DG7">
        <f t="shared" ref="DG7:DG50" si="45">$DE$3*DE7/(1+$DE$3*DE7)</f>
        <v>4.7572333309681379E-2</v>
      </c>
      <c r="DH7">
        <v>0.98699999999999999</v>
      </c>
      <c r="DJ7">
        <v>0.6</v>
      </c>
      <c r="DK7">
        <v>0.3</v>
      </c>
      <c r="DL7">
        <f t="shared" ref="DL7:DL48" si="46">$DJ$3*DJ7/(1+$DJ$3*DJ7)</f>
        <v>2.4805438933121548E-2</v>
      </c>
      <c r="DM7">
        <f t="shared" ref="DM7:DM48" si="47">$DK$3*DK7/(1+$DK$3*DK7)</f>
        <v>4.8079595776519553E-2</v>
      </c>
      <c r="DN7">
        <v>0.96799999999999997</v>
      </c>
      <c r="DP7">
        <v>0.6</v>
      </c>
      <c r="DQ7">
        <v>0.3</v>
      </c>
      <c r="DR7">
        <f t="shared" ref="DR7:DR45" si="48">$DP$3*DP7/(1+$DP$3*DP7)</f>
        <v>3.3876166111467501E-2</v>
      </c>
      <c r="DS7">
        <f t="shared" ref="DS7:DS45" si="49">$DQ$3*DQ7/(1+$DQ$3*DQ7)</f>
        <v>4.8079595776519553E-2</v>
      </c>
      <c r="DT7">
        <v>0.97</v>
      </c>
      <c r="DV7">
        <v>0.13</v>
      </c>
      <c r="DW7">
        <v>0.77</v>
      </c>
      <c r="DX7">
        <f t="shared" ref="DX7:DX37" si="50">$DV$3*DV7/(1+$DV$3*DV7)</f>
        <v>1.2225975434257562E-2</v>
      </c>
      <c r="DY7">
        <f t="shared" ref="DY7:DY37" si="51">$DW$3*DW7/(1+$DW$3*DW7)</f>
        <v>4.3061102079734445E-2</v>
      </c>
      <c r="DZ7">
        <v>0.96799999999999997</v>
      </c>
      <c r="EB7" s="2">
        <v>0.2</v>
      </c>
      <c r="EC7" s="2">
        <v>0.4</v>
      </c>
      <c r="ED7">
        <f t="shared" ref="ED7:ED41" si="52">$EB$3*EB7/(1+$EB$3*EB7)</f>
        <v>1.8686177802288817E-2</v>
      </c>
      <c r="EE7">
        <f t="shared" ref="EE7:EE41" si="53">$EC$3*EC7/(1+$EC$3*EC7)</f>
        <v>4.2505113022696467E-2</v>
      </c>
      <c r="EF7">
        <v>0.96799999999999997</v>
      </c>
      <c r="EH7">
        <v>0.2</v>
      </c>
      <c r="EI7">
        <v>0.4</v>
      </c>
      <c r="EJ7">
        <f t="shared" ref="EJ7:EJ26" si="54">$EH$3*EH7/(1+$EH$3*EH7)</f>
        <v>1.0584764192666849E-2</v>
      </c>
      <c r="EK7">
        <f t="shared" ref="EK7:EK26" si="55">$EI$3*EI7/(1+$EI$3*EI7)</f>
        <v>1.6674834821038754E-2</v>
      </c>
      <c r="EL7">
        <v>0.97919999999999996</v>
      </c>
    </row>
    <row r="8" spans="1:142" ht="49" customHeight="1" x14ac:dyDescent="0.2">
      <c r="A8">
        <v>7</v>
      </c>
      <c r="B8" t="s">
        <v>45</v>
      </c>
      <c r="C8">
        <v>2005</v>
      </c>
      <c r="F8">
        <v>0.51719999999999999</v>
      </c>
      <c r="G8">
        <v>0.41909999999999997</v>
      </c>
      <c r="H8">
        <f t="shared" si="0"/>
        <v>0.30044147999999998</v>
      </c>
      <c r="I8">
        <f t="shared" si="1"/>
        <v>0.21675851999999998</v>
      </c>
      <c r="J8">
        <f t="shared" si="2"/>
        <v>1.7254843007076703E-2</v>
      </c>
      <c r="K8">
        <f t="shared" si="3"/>
        <v>9.1055870833727445E-3</v>
      </c>
      <c r="L8">
        <v>0.94059999999999999</v>
      </c>
      <c r="M8">
        <f t="shared" si="4"/>
        <v>0.98262512255560863</v>
      </c>
      <c r="O8">
        <v>0.96850000000000003</v>
      </c>
      <c r="P8">
        <v>0.52390000000000003</v>
      </c>
      <c r="Q8">
        <f t="shared" si="5"/>
        <v>0.46110285000000001</v>
      </c>
      <c r="R8">
        <f t="shared" si="6"/>
        <v>0.50739715000000007</v>
      </c>
      <c r="S8">
        <f t="shared" si="7"/>
        <v>3.771326652277749E-2</v>
      </c>
      <c r="T8">
        <f t="shared" si="8"/>
        <v>3.3800558822653121E-2</v>
      </c>
      <c r="U8">
        <v>0.92830000000000001</v>
      </c>
      <c r="V8">
        <f t="shared" si="9"/>
        <v>0.9681263534607788</v>
      </c>
      <c r="X8">
        <v>0.999</v>
      </c>
      <c r="Y8">
        <v>0.46529999999999999</v>
      </c>
      <c r="Z8">
        <f t="shared" si="10"/>
        <v>0.53416529999999995</v>
      </c>
      <c r="AA8">
        <f t="shared" si="11"/>
        <v>0.46483469999999999</v>
      </c>
      <c r="AB8">
        <f t="shared" si="12"/>
        <v>4.1980157626143134E-2</v>
      </c>
      <c r="AC8">
        <f t="shared" si="13"/>
        <v>2.9757147923848083E-2</v>
      </c>
      <c r="AD8">
        <v>0.9869</v>
      </c>
      <c r="AE8">
        <f t="shared" si="14"/>
        <v>0.96510150211112711</v>
      </c>
      <c r="AG8">
        <v>0.21</v>
      </c>
      <c r="AH8">
        <v>0.28000000000000003</v>
      </c>
      <c r="AI8">
        <f t="shared" si="15"/>
        <v>8.8241806142780425E-3</v>
      </c>
      <c r="AJ8">
        <f t="shared" si="16"/>
        <v>5.5092277798334782E-2</v>
      </c>
      <c r="AK8">
        <v>0.97989999999999999</v>
      </c>
      <c r="AM8">
        <v>0.57999999999999996</v>
      </c>
      <c r="AN8">
        <v>0.77</v>
      </c>
      <c r="AO8">
        <f t="shared" si="17"/>
        <v>2.3998434025007422E-2</v>
      </c>
      <c r="AP8">
        <f t="shared" si="18"/>
        <v>6.8304871180710311E-2</v>
      </c>
      <c r="AQ8">
        <v>0.93</v>
      </c>
      <c r="AS8">
        <v>0.21</v>
      </c>
      <c r="AT8">
        <v>0.28999999999999998</v>
      </c>
      <c r="AU8">
        <f t="shared" si="19"/>
        <v>8.8241806142780425E-3</v>
      </c>
      <c r="AV8">
        <f t="shared" si="20"/>
        <v>3.1180674922169898E-2</v>
      </c>
      <c r="AW8">
        <v>0.97899999999999998</v>
      </c>
      <c r="AY8">
        <v>4.4512999999999998</v>
      </c>
      <c r="AZ8">
        <v>0.74739999999999995</v>
      </c>
      <c r="BA8">
        <f t="shared" ref="BA8:BA20" si="56">AY8*(1-AZ8)</f>
        <v>1.1243983800000001</v>
      </c>
      <c r="BB8">
        <f t="shared" ref="BB8:BB20" si="57">AY8*AZ8</f>
        <v>3.3269016199999997</v>
      </c>
      <c r="BC8">
        <f t="shared" si="21"/>
        <v>0.10149273964572085</v>
      </c>
      <c r="BD8">
        <f t="shared" si="22"/>
        <v>0.26141977784273007</v>
      </c>
      <c r="BE8">
        <v>1.7033</v>
      </c>
      <c r="BF8">
        <f t="shared" si="23"/>
        <v>0.76096160496649656</v>
      </c>
      <c r="BH8">
        <v>13.861599999999999</v>
      </c>
      <c r="BI8">
        <v>0.74929999999999997</v>
      </c>
      <c r="BJ8">
        <f t="shared" si="24"/>
        <v>3.4751031200000004</v>
      </c>
      <c r="BK8">
        <f t="shared" si="25"/>
        <v>10.386496879999999</v>
      </c>
      <c r="BL8">
        <f t="shared" si="26"/>
        <v>0.25876997026122361</v>
      </c>
      <c r="BM8">
        <f t="shared" si="27"/>
        <v>0.55980542445171</v>
      </c>
      <c r="BN8">
        <v>1.6237999999999999</v>
      </c>
      <c r="BO8">
        <f t="shared" si="28"/>
        <v>0.44442686351287719</v>
      </c>
      <c r="BQ8">
        <v>5.8212000000000002</v>
      </c>
      <c r="BR8">
        <v>0.75619999999999998</v>
      </c>
      <c r="BS8">
        <f t="shared" si="29"/>
        <v>1.4192085600000002</v>
      </c>
      <c r="BT8">
        <f t="shared" si="30"/>
        <v>4.4019914399999998</v>
      </c>
      <c r="BU8">
        <f t="shared" si="31"/>
        <v>0.13118241804195888</v>
      </c>
      <c r="BV8">
        <f t="shared" si="32"/>
        <v>0.35021890523634808</v>
      </c>
      <c r="BW8">
        <v>1.2367999999999999</v>
      </c>
      <c r="BX8">
        <f t="shared" si="33"/>
        <v>0.77151398975957519</v>
      </c>
      <c r="BZ8">
        <v>0.4793</v>
      </c>
      <c r="CA8">
        <v>1.99</v>
      </c>
      <c r="CB8">
        <f t="shared" si="34"/>
        <v>1.7175137694107199E-2</v>
      </c>
      <c r="CC8">
        <f t="shared" si="35"/>
        <v>0.10417993226883632</v>
      </c>
      <c r="CD8" s="2">
        <v>0.90300000000000002</v>
      </c>
      <c r="CF8">
        <v>0.49099999999999999</v>
      </c>
      <c r="CG8">
        <v>0.503</v>
      </c>
      <c r="CH8">
        <f t="shared" si="36"/>
        <v>1.7587019636647484E-2</v>
      </c>
      <c r="CI8">
        <f t="shared" si="37"/>
        <v>9.4809384462325244E-2</v>
      </c>
      <c r="CJ8">
        <v>0.95799999999999996</v>
      </c>
      <c r="CL8">
        <v>0.50919999999999999</v>
      </c>
      <c r="CM8">
        <v>2.5990000000000002</v>
      </c>
      <c r="CN8">
        <f t="shared" si="38"/>
        <v>1.822703914420689E-2</v>
      </c>
      <c r="CO8">
        <f t="shared" si="39"/>
        <v>0.24140218128430552</v>
      </c>
      <c r="CP8">
        <v>0.88700000000000001</v>
      </c>
      <c r="CR8">
        <v>0.4793</v>
      </c>
      <c r="CS8">
        <v>2.9319999999999999</v>
      </c>
      <c r="CT8">
        <f t="shared" si="40"/>
        <v>1.7175137694107199E-2</v>
      </c>
      <c r="CU8">
        <f t="shared" si="41"/>
        <v>0.49642386414273232</v>
      </c>
      <c r="CV8">
        <v>0.76500000000000001</v>
      </c>
      <c r="CX8">
        <v>9.8599999999999993E-2</v>
      </c>
      <c r="CY8">
        <v>1.089</v>
      </c>
      <c r="CZ8">
        <f t="shared" si="42"/>
        <v>3.5820785850980306E-3</v>
      </c>
      <c r="DA8">
        <f t="shared" si="43"/>
        <v>0.1339603621971758</v>
      </c>
      <c r="DB8">
        <v>0.95799999999999996</v>
      </c>
      <c r="DD8">
        <v>0.2</v>
      </c>
      <c r="DE8">
        <v>0.4</v>
      </c>
      <c r="DF8">
        <f t="shared" si="44"/>
        <v>8.4075143671835245E-3</v>
      </c>
      <c r="DG8">
        <f t="shared" si="45"/>
        <v>2.895651667281661E-2</v>
      </c>
      <c r="DH8">
        <v>0.98</v>
      </c>
      <c r="DJ8">
        <v>0.67</v>
      </c>
      <c r="DK8">
        <v>0.33</v>
      </c>
      <c r="DL8">
        <f t="shared" si="46"/>
        <v>2.7619476929678942E-2</v>
      </c>
      <c r="DM8">
        <f t="shared" si="47"/>
        <v>5.2634490849775499E-2</v>
      </c>
      <c r="DN8">
        <v>0.96299999999999997</v>
      </c>
      <c r="DP8">
        <v>0.67</v>
      </c>
      <c r="DQ8">
        <v>0.33</v>
      </c>
      <c r="DR8">
        <f t="shared" si="48"/>
        <v>3.7679467967621387E-2</v>
      </c>
      <c r="DS8">
        <f t="shared" si="49"/>
        <v>5.2634490849775499E-2</v>
      </c>
      <c r="DT8">
        <v>0.96699999999999997</v>
      </c>
      <c r="DV8">
        <v>0.2</v>
      </c>
      <c r="DW8">
        <v>1.2</v>
      </c>
      <c r="DX8">
        <f t="shared" si="50"/>
        <v>1.8686177802288817E-2</v>
      </c>
      <c r="DY8">
        <f t="shared" si="51"/>
        <v>6.5532347532257826E-2</v>
      </c>
      <c r="DZ8">
        <v>0.94479999999999997</v>
      </c>
      <c r="EB8" s="2">
        <v>0.3</v>
      </c>
      <c r="EC8" s="2">
        <v>0.6</v>
      </c>
      <c r="ED8">
        <f t="shared" si="52"/>
        <v>2.7769810891505913E-2</v>
      </c>
      <c r="EE8">
        <f t="shared" si="53"/>
        <v>6.2430854275502823E-2</v>
      </c>
      <c r="EF8">
        <v>0.94899999999999995</v>
      </c>
      <c r="EH8">
        <v>0.3</v>
      </c>
      <c r="EI8">
        <v>0.6</v>
      </c>
      <c r="EJ8">
        <f t="shared" si="54"/>
        <v>1.5793560730950437E-2</v>
      </c>
      <c r="EK8">
        <f t="shared" si="55"/>
        <v>2.4805438933121548E-2</v>
      </c>
      <c r="EL8">
        <v>0.96850000000000003</v>
      </c>
    </row>
    <row r="9" spans="1:142" ht="49" customHeight="1" x14ac:dyDescent="0.2">
      <c r="A9">
        <v>8</v>
      </c>
      <c r="B9" t="s">
        <v>56</v>
      </c>
      <c r="C9">
        <v>2002</v>
      </c>
      <c r="F9">
        <v>0.52190000000000003</v>
      </c>
      <c r="G9">
        <v>0.21360000000000001</v>
      </c>
      <c r="H9">
        <f t="shared" si="0"/>
        <v>0.41042216000000004</v>
      </c>
      <c r="I9">
        <f t="shared" si="1"/>
        <v>0.11147784000000001</v>
      </c>
      <c r="J9">
        <f t="shared" si="2"/>
        <v>2.3423262417551338E-2</v>
      </c>
      <c r="K9">
        <f t="shared" si="3"/>
        <v>4.7037616113365021E-3</v>
      </c>
      <c r="L9">
        <v>0.93210000000000004</v>
      </c>
      <c r="M9">
        <f t="shared" si="4"/>
        <v>0.98262566529195483</v>
      </c>
      <c r="O9">
        <v>1.6875</v>
      </c>
      <c r="P9">
        <v>0.54110000000000003</v>
      </c>
      <c r="Q9">
        <f t="shared" si="5"/>
        <v>0.77439374999999999</v>
      </c>
      <c r="R9">
        <f t="shared" si="6"/>
        <v>0.91310625000000001</v>
      </c>
      <c r="S9">
        <f t="shared" si="7"/>
        <v>6.1754708778705238E-2</v>
      </c>
      <c r="T9">
        <f t="shared" si="8"/>
        <v>5.9226422680112266E-2</v>
      </c>
      <c r="U9">
        <v>0.95650000000000002</v>
      </c>
      <c r="V9">
        <f t="shared" si="9"/>
        <v>0.94350363439029306</v>
      </c>
      <c r="X9">
        <v>1.3862000000000001</v>
      </c>
      <c r="Y9">
        <v>0.4929</v>
      </c>
      <c r="Z9">
        <f t="shared" si="10"/>
        <v>0.70294202000000006</v>
      </c>
      <c r="AA9">
        <f t="shared" si="11"/>
        <v>0.68325798000000004</v>
      </c>
      <c r="AB9">
        <f t="shared" si="12"/>
        <v>5.4521174215514862E-2</v>
      </c>
      <c r="AC9">
        <f t="shared" si="13"/>
        <v>4.3136700337679898E-2</v>
      </c>
      <c r="AD9">
        <v>1.0172000000000001</v>
      </c>
      <c r="AE9">
        <f t="shared" si="14"/>
        <v>0.95046570980534839</v>
      </c>
      <c r="AG9">
        <v>0.24</v>
      </c>
      <c r="AH9">
        <v>0.32</v>
      </c>
      <c r="AI9">
        <f t="shared" si="15"/>
        <v>1.0072081007464689E-2</v>
      </c>
      <c r="AJ9">
        <f t="shared" si="16"/>
        <v>6.247093659903457E-2</v>
      </c>
      <c r="AK9">
        <v>0.97689999999999999</v>
      </c>
      <c r="AM9">
        <v>0.64</v>
      </c>
      <c r="AN9">
        <v>0.86</v>
      </c>
      <c r="AO9">
        <f t="shared" si="17"/>
        <v>2.6415451736999454E-2</v>
      </c>
      <c r="AP9">
        <f t="shared" si="18"/>
        <v>7.5684317577639243E-2</v>
      </c>
      <c r="AQ9">
        <v>0.91900000000000004</v>
      </c>
      <c r="AS9">
        <v>0.43</v>
      </c>
      <c r="AT9">
        <v>0.56999999999999995</v>
      </c>
      <c r="AU9">
        <f t="shared" si="19"/>
        <v>1.7903057642942592E-2</v>
      </c>
      <c r="AV9">
        <f t="shared" si="20"/>
        <v>5.9495027832363642E-2</v>
      </c>
      <c r="AW9">
        <v>0.95299999999999996</v>
      </c>
      <c r="AY9">
        <v>3.9009999999999998</v>
      </c>
      <c r="AZ9">
        <v>0.25090000000000001</v>
      </c>
      <c r="BA9">
        <f t="shared" si="56"/>
        <v>2.9222390999999996</v>
      </c>
      <c r="BB9">
        <f t="shared" si="57"/>
        <v>0.97876090000000004</v>
      </c>
      <c r="BC9">
        <f t="shared" si="21"/>
        <v>0.22694447312932212</v>
      </c>
      <c r="BD9">
        <f t="shared" si="22"/>
        <v>9.4309852149198195E-2</v>
      </c>
      <c r="BE9">
        <v>1.5991</v>
      </c>
      <c r="BF9">
        <f t="shared" si="23"/>
        <v>0.79871147416105959</v>
      </c>
      <c r="BH9">
        <v>8.1744000000000003</v>
      </c>
      <c r="BI9">
        <v>0.24859999999999999</v>
      </c>
      <c r="BJ9">
        <f t="shared" si="24"/>
        <v>6.1422441600000006</v>
      </c>
      <c r="BK9">
        <f t="shared" si="25"/>
        <v>2.0321558400000002</v>
      </c>
      <c r="BL9">
        <f t="shared" si="26"/>
        <v>0.38158987427450869</v>
      </c>
      <c r="BM9">
        <f t="shared" si="27"/>
        <v>0.1992422660499599</v>
      </c>
      <c r="BN9">
        <v>2.1318999999999999</v>
      </c>
      <c r="BO9">
        <f t="shared" si="28"/>
        <v>0.53371836351959512</v>
      </c>
      <c r="BQ9">
        <v>4.1017999999999999</v>
      </c>
      <c r="BR9">
        <v>0.25090000000000001</v>
      </c>
      <c r="BS9">
        <f t="shared" si="29"/>
        <v>3.07265838</v>
      </c>
      <c r="BT9">
        <f t="shared" si="30"/>
        <v>1.0291416200000001</v>
      </c>
      <c r="BU9">
        <f t="shared" si="31"/>
        <v>0.24636377589935435</v>
      </c>
      <c r="BV9">
        <f t="shared" si="32"/>
        <v>0.11190692141387085</v>
      </c>
      <c r="BW9">
        <v>1.4499</v>
      </c>
      <c r="BX9">
        <f t="shared" si="33"/>
        <v>0.8071264763123781</v>
      </c>
      <c r="BZ9">
        <v>0.96919999999999995</v>
      </c>
      <c r="CA9">
        <v>1.1200000000000001</v>
      </c>
      <c r="CB9">
        <f t="shared" si="34"/>
        <v>3.4130945680304808E-2</v>
      </c>
      <c r="CC9">
        <f t="shared" si="35"/>
        <v>6.1431909513025823E-2</v>
      </c>
      <c r="CD9" s="2">
        <v>0.91100000000000003</v>
      </c>
      <c r="CF9">
        <v>0.49099999999999999</v>
      </c>
      <c r="CG9">
        <v>0.754</v>
      </c>
      <c r="CH9">
        <f t="shared" si="36"/>
        <v>1.7587019636647484E-2</v>
      </c>
      <c r="CI9">
        <f t="shared" si="37"/>
        <v>0.13569981374849568</v>
      </c>
      <c r="CJ9">
        <v>0.94</v>
      </c>
      <c r="CL9">
        <v>0.50919999999999999</v>
      </c>
      <c r="CM9">
        <v>3.8090000000000002</v>
      </c>
      <c r="CN9">
        <f t="shared" si="38"/>
        <v>1.822703914420689E-2</v>
      </c>
      <c r="CO9">
        <f t="shared" si="39"/>
        <v>0.31804571870602505</v>
      </c>
      <c r="CP9">
        <v>0.83499999999999996</v>
      </c>
      <c r="CR9">
        <v>1.01</v>
      </c>
      <c r="CS9">
        <v>0.30940000000000001</v>
      </c>
      <c r="CT9">
        <f t="shared" si="40"/>
        <v>3.5516711312598093E-2</v>
      </c>
      <c r="CU9">
        <f t="shared" si="41"/>
        <v>9.4224614187420008E-2</v>
      </c>
      <c r="CV9">
        <v>0.92900000000000005</v>
      </c>
      <c r="CX9">
        <v>9.8599999999999993E-2</v>
      </c>
      <c r="CY9">
        <v>1.708</v>
      </c>
      <c r="CZ9">
        <f t="shared" si="42"/>
        <v>3.5820785850980306E-3</v>
      </c>
      <c r="DA9">
        <f t="shared" si="43"/>
        <v>0.19523859373030347</v>
      </c>
      <c r="DB9">
        <v>0.93700000000000006</v>
      </c>
      <c r="DD9">
        <v>0.3</v>
      </c>
      <c r="DE9">
        <v>0.6</v>
      </c>
      <c r="DF9">
        <f t="shared" si="44"/>
        <v>1.2558478755491905E-2</v>
      </c>
      <c r="DG9">
        <f t="shared" si="45"/>
        <v>4.2814889971571596E-2</v>
      </c>
      <c r="DH9">
        <v>0.97</v>
      </c>
      <c r="DJ9">
        <v>1</v>
      </c>
      <c r="DK9">
        <v>0.5</v>
      </c>
      <c r="DL9">
        <f t="shared" si="46"/>
        <v>4.0669842689040801E-2</v>
      </c>
      <c r="DM9">
        <f t="shared" si="47"/>
        <v>7.7643933664151718E-2</v>
      </c>
      <c r="DN9">
        <v>0.94599999999999995</v>
      </c>
      <c r="DP9">
        <v>1</v>
      </c>
      <c r="DQ9">
        <v>0.5</v>
      </c>
      <c r="DR9">
        <f t="shared" si="48"/>
        <v>5.5213332829447105E-2</v>
      </c>
      <c r="DS9">
        <f t="shared" si="49"/>
        <v>7.7643933664151718E-2</v>
      </c>
      <c r="DT9">
        <v>0.95</v>
      </c>
      <c r="DV9">
        <v>0.25</v>
      </c>
      <c r="DW9">
        <v>1.51</v>
      </c>
      <c r="DX9">
        <f t="shared" si="50"/>
        <v>2.3249112988100732E-2</v>
      </c>
      <c r="DY9">
        <f t="shared" si="51"/>
        <v>8.1088770132885596E-2</v>
      </c>
      <c r="DZ9">
        <v>0.93389999999999995</v>
      </c>
      <c r="EB9" s="2">
        <v>0.33</v>
      </c>
      <c r="EC9" s="2">
        <v>0.67</v>
      </c>
      <c r="ED9">
        <f t="shared" si="52"/>
        <v>3.0462199030016207E-2</v>
      </c>
      <c r="EE9">
        <f t="shared" si="53"/>
        <v>6.9210353433859867E-2</v>
      </c>
      <c r="EF9">
        <v>0.94399999999999995</v>
      </c>
      <c r="EH9">
        <v>0.5</v>
      </c>
      <c r="EI9">
        <v>1</v>
      </c>
      <c r="EJ9">
        <f t="shared" si="54"/>
        <v>2.6048337221023721E-2</v>
      </c>
      <c r="EK9">
        <f t="shared" si="55"/>
        <v>4.0669842689040801E-2</v>
      </c>
      <c r="EL9">
        <v>0.94699999999999995</v>
      </c>
    </row>
    <row r="10" spans="1:142" ht="49" customHeight="1" x14ac:dyDescent="0.2">
      <c r="F10">
        <v>0.71850000000000003</v>
      </c>
      <c r="G10">
        <v>0.79690000000000005</v>
      </c>
      <c r="H10">
        <f t="shared" si="0"/>
        <v>0.14592734999999996</v>
      </c>
      <c r="I10">
        <f t="shared" si="1"/>
        <v>0.57257265000000002</v>
      </c>
      <c r="J10">
        <f t="shared" si="2"/>
        <v>8.4558826149705585E-3</v>
      </c>
      <c r="K10">
        <f t="shared" si="3"/>
        <v>2.3698398415687747E-2</v>
      </c>
      <c r="L10">
        <v>0.9728</v>
      </c>
      <c r="M10">
        <f t="shared" si="4"/>
        <v>0.97513135406763451</v>
      </c>
      <c r="O10">
        <v>2.4262999999999999</v>
      </c>
      <c r="P10">
        <v>0.80400000000000005</v>
      </c>
      <c r="Q10">
        <f t="shared" si="5"/>
        <v>0.47555479999999989</v>
      </c>
      <c r="R10">
        <f t="shared" si="6"/>
        <v>1.9507452000000001</v>
      </c>
      <c r="S10">
        <f t="shared" si="7"/>
        <v>3.8849360489167165E-2</v>
      </c>
      <c r="T10">
        <f t="shared" si="8"/>
        <v>0.11855138250456433</v>
      </c>
      <c r="U10">
        <v>1.0677000000000001</v>
      </c>
      <c r="V10">
        <f t="shared" si="9"/>
        <v>0.91088673991161917</v>
      </c>
      <c r="X10">
        <v>1.7375</v>
      </c>
      <c r="Y10">
        <v>0.51539999999999997</v>
      </c>
      <c r="Z10">
        <f t="shared" si="10"/>
        <v>0.84199250000000003</v>
      </c>
      <c r="AA10">
        <f t="shared" si="11"/>
        <v>0.89550750000000001</v>
      </c>
      <c r="AB10">
        <f t="shared" si="12"/>
        <v>6.4609317166247238E-2</v>
      </c>
      <c r="AC10">
        <f t="shared" si="13"/>
        <v>5.5789244698641043E-2</v>
      </c>
      <c r="AD10">
        <v>1.0437000000000001</v>
      </c>
      <c r="AE10">
        <f t="shared" si="14"/>
        <v>0.93675171421569348</v>
      </c>
      <c r="AG10">
        <v>0.27</v>
      </c>
      <c r="AH10">
        <v>0.36</v>
      </c>
      <c r="AI10">
        <f t="shared" si="15"/>
        <v>1.1316843113324506E-2</v>
      </c>
      <c r="AJ10">
        <f t="shared" si="16"/>
        <v>6.9735250373315238E-2</v>
      </c>
      <c r="AK10">
        <v>0.97399999999999998</v>
      </c>
      <c r="AM10">
        <v>0.77</v>
      </c>
      <c r="AN10">
        <v>1.03</v>
      </c>
      <c r="AO10">
        <f t="shared" si="17"/>
        <v>3.1611474621567805E-2</v>
      </c>
      <c r="AP10">
        <f t="shared" si="18"/>
        <v>8.9309031714840295E-2</v>
      </c>
      <c r="AQ10">
        <v>0.89800000000000002</v>
      </c>
      <c r="AS10">
        <v>0.64</v>
      </c>
      <c r="AT10">
        <v>0.86</v>
      </c>
      <c r="AU10">
        <f t="shared" si="19"/>
        <v>2.6415451736999454E-2</v>
      </c>
      <c r="AV10">
        <f t="shared" si="20"/>
        <v>8.7127141645369346E-2</v>
      </c>
      <c r="AW10">
        <v>0.92300000000000004</v>
      </c>
      <c r="AY10">
        <v>3.9043000000000001</v>
      </c>
      <c r="AZ10">
        <v>0.49969999999999998</v>
      </c>
      <c r="BA10">
        <f t="shared" si="56"/>
        <v>1.9533212899999999</v>
      </c>
      <c r="BB10">
        <f t="shared" si="57"/>
        <v>1.95097871</v>
      </c>
      <c r="BC10">
        <f t="shared" si="21"/>
        <v>0.16404081911712018</v>
      </c>
      <c r="BD10">
        <f t="shared" si="22"/>
        <v>0.1718869704089819</v>
      </c>
      <c r="BE10">
        <v>1.5976999999999999</v>
      </c>
      <c r="BF10">
        <f t="shared" si="23"/>
        <v>0.79871691278456614</v>
      </c>
      <c r="BH10">
        <v>9.5044000000000004</v>
      </c>
      <c r="BI10">
        <v>0.50049999999999994</v>
      </c>
      <c r="BJ10">
        <f t="shared" si="24"/>
        <v>4.7474478000000007</v>
      </c>
      <c r="BK10">
        <f t="shared" si="25"/>
        <v>4.7569521999999997</v>
      </c>
      <c r="BL10">
        <f t="shared" si="26"/>
        <v>0.32291920141187586</v>
      </c>
      <c r="BM10">
        <f t="shared" si="27"/>
        <v>0.36806499811480964</v>
      </c>
      <c r="BN10">
        <v>1.8335999999999999</v>
      </c>
      <c r="BO10">
        <f t="shared" si="28"/>
        <v>0.53371327769144761</v>
      </c>
      <c r="BQ10">
        <v>4.4881000000000002</v>
      </c>
      <c r="BR10">
        <v>0.49819999999999998</v>
      </c>
      <c r="BS10">
        <f t="shared" si="29"/>
        <v>2.2521285800000004</v>
      </c>
      <c r="BT10">
        <f t="shared" si="30"/>
        <v>2.2359714199999998</v>
      </c>
      <c r="BU10">
        <f t="shared" si="31"/>
        <v>0.19329073432328508</v>
      </c>
      <c r="BV10">
        <f t="shared" si="32"/>
        <v>0.21493035444772982</v>
      </c>
      <c r="BW10">
        <v>1.3250999999999999</v>
      </c>
      <c r="BX10">
        <f t="shared" si="33"/>
        <v>0.80712701459074454</v>
      </c>
      <c r="BZ10">
        <v>0.96919999999999995</v>
      </c>
      <c r="CA10">
        <v>2.359</v>
      </c>
      <c r="CB10">
        <f t="shared" si="34"/>
        <v>3.4130945680304808E-2</v>
      </c>
      <c r="CC10">
        <f t="shared" si="35"/>
        <v>0.1211572292252906</v>
      </c>
      <c r="CD10" s="2">
        <v>0.85499999999999998</v>
      </c>
      <c r="CF10">
        <v>0.49099999999999999</v>
      </c>
      <c r="CG10">
        <v>1.0069999999999999</v>
      </c>
      <c r="CH10">
        <f t="shared" si="36"/>
        <v>1.7587019636647484E-2</v>
      </c>
      <c r="CI10">
        <f t="shared" si="37"/>
        <v>0.17334029733511114</v>
      </c>
      <c r="CJ10">
        <v>0.92800000000000005</v>
      </c>
      <c r="CL10">
        <v>0.50919999999999999</v>
      </c>
      <c r="CM10">
        <v>5.07</v>
      </c>
      <c r="CN10">
        <f t="shared" si="38"/>
        <v>1.822703914420689E-2</v>
      </c>
      <c r="CO10">
        <f t="shared" si="39"/>
        <v>0.38300961493136476</v>
      </c>
      <c r="CP10">
        <v>0.78300000000000003</v>
      </c>
      <c r="CR10">
        <v>1.01</v>
      </c>
      <c r="CS10">
        <v>0.80469999999999997</v>
      </c>
      <c r="CT10">
        <f t="shared" si="40"/>
        <v>3.5516711312598093E-2</v>
      </c>
      <c r="CU10">
        <f t="shared" si="41"/>
        <v>0.21294313998856032</v>
      </c>
      <c r="CV10">
        <v>0.91700000000000004</v>
      </c>
      <c r="CX10">
        <v>0.47339999999999999</v>
      </c>
      <c r="CY10">
        <v>0.10050000000000001</v>
      </c>
      <c r="CZ10">
        <f t="shared" si="42"/>
        <v>1.6967305524017352E-2</v>
      </c>
      <c r="DA10">
        <f t="shared" si="43"/>
        <v>1.4074111772958781E-2</v>
      </c>
      <c r="DB10">
        <v>0.98099999999999998</v>
      </c>
      <c r="DD10">
        <v>0.33</v>
      </c>
      <c r="DE10">
        <v>0.67</v>
      </c>
      <c r="DF10">
        <f t="shared" si="44"/>
        <v>1.3796999698281054E-2</v>
      </c>
      <c r="DG10">
        <f t="shared" si="45"/>
        <v>4.7572333309681379E-2</v>
      </c>
      <c r="DH10">
        <v>0.96699999999999997</v>
      </c>
      <c r="DJ10">
        <v>1.33</v>
      </c>
      <c r="DK10">
        <v>0.67</v>
      </c>
      <c r="DL10">
        <f t="shared" si="46"/>
        <v>5.3374548395762368E-2</v>
      </c>
      <c r="DM10">
        <f t="shared" si="47"/>
        <v>0.10136689284662886</v>
      </c>
      <c r="DN10">
        <v>0.92800000000000005</v>
      </c>
      <c r="DP10">
        <v>1.33</v>
      </c>
      <c r="DQ10">
        <v>0.67</v>
      </c>
      <c r="DR10">
        <f t="shared" si="48"/>
        <v>7.211968319939073E-2</v>
      </c>
      <c r="DS10">
        <f t="shared" si="49"/>
        <v>0.10136689284662886</v>
      </c>
      <c r="DT10">
        <v>0.93300000000000005</v>
      </c>
      <c r="DV10">
        <v>0.3</v>
      </c>
      <c r="DW10">
        <v>1.81</v>
      </c>
      <c r="DX10">
        <f t="shared" si="50"/>
        <v>2.7769810891505913E-2</v>
      </c>
      <c r="DY10">
        <f t="shared" si="51"/>
        <v>9.5658037194499723E-2</v>
      </c>
      <c r="DZ10">
        <v>0.91249999999999998</v>
      </c>
      <c r="EB10" s="2">
        <v>0.4</v>
      </c>
      <c r="EC10" s="2">
        <v>0.8</v>
      </c>
      <c r="ED10">
        <f t="shared" si="52"/>
        <v>3.6686819178409456E-2</v>
      </c>
      <c r="EE10">
        <f t="shared" si="53"/>
        <v>8.1544181398698012E-2</v>
      </c>
      <c r="EF10">
        <v>0.92700000000000005</v>
      </c>
      <c r="EH10">
        <v>1</v>
      </c>
      <c r="EI10">
        <v>2</v>
      </c>
      <c r="EJ10">
        <f t="shared" si="54"/>
        <v>5.0774093726565987E-2</v>
      </c>
      <c r="EK10">
        <f t="shared" si="55"/>
        <v>7.8160894110185578E-2</v>
      </c>
      <c r="EL10">
        <v>0.88100000000000001</v>
      </c>
    </row>
    <row r="11" spans="1:142" ht="49" customHeight="1" x14ac:dyDescent="0.2">
      <c r="F11">
        <v>0.72719999999999996</v>
      </c>
      <c r="G11">
        <v>0.56850000000000001</v>
      </c>
      <c r="H11">
        <f t="shared" si="0"/>
        <v>0.31378679999999998</v>
      </c>
      <c r="I11">
        <f t="shared" si="1"/>
        <v>0.41341319999999998</v>
      </c>
      <c r="J11">
        <f t="shared" si="2"/>
        <v>1.8007484728631347E-2</v>
      </c>
      <c r="K11">
        <f t="shared" si="3"/>
        <v>1.7224360931041651E-2</v>
      </c>
      <c r="L11">
        <v>0.96120000000000005</v>
      </c>
      <c r="M11">
        <f t="shared" si="4"/>
        <v>0.97513037595042018</v>
      </c>
      <c r="O11">
        <v>2.5642999999999998</v>
      </c>
      <c r="P11">
        <v>0.60640000000000005</v>
      </c>
      <c r="Q11">
        <f t="shared" si="5"/>
        <v>1.0093084799999998</v>
      </c>
      <c r="R11">
        <f t="shared" si="6"/>
        <v>1.55499152</v>
      </c>
      <c r="S11">
        <f t="shared" si="7"/>
        <v>7.9008093326269485E-2</v>
      </c>
      <c r="T11">
        <f t="shared" si="8"/>
        <v>9.6829329771360162E-2</v>
      </c>
      <c r="U11">
        <v>1.0103</v>
      </c>
      <c r="V11">
        <f t="shared" si="9"/>
        <v>0.91088175868260257</v>
      </c>
      <c r="X11">
        <v>1.9392</v>
      </c>
      <c r="Y11">
        <v>0.34089999999999998</v>
      </c>
      <c r="Z11">
        <f t="shared" si="10"/>
        <v>1.2781267200000002</v>
      </c>
      <c r="AA11">
        <f t="shared" si="11"/>
        <v>0.66107327999999999</v>
      </c>
      <c r="AB11">
        <f t="shared" si="12"/>
        <v>9.4899635095310284E-2</v>
      </c>
      <c r="AC11">
        <f t="shared" si="13"/>
        <v>4.1794632810790724E-2</v>
      </c>
      <c r="AD11">
        <v>1.0683</v>
      </c>
      <c r="AE11">
        <f t="shared" si="14"/>
        <v>0.92807706062368311</v>
      </c>
      <c r="AG11">
        <v>0.3</v>
      </c>
      <c r="AH11">
        <v>0.4</v>
      </c>
      <c r="AI11">
        <f t="shared" si="15"/>
        <v>1.2558478755491905E-2</v>
      </c>
      <c r="AJ11">
        <f t="shared" si="16"/>
        <v>7.6887856644376598E-2</v>
      </c>
      <c r="AK11">
        <v>0.97060000000000002</v>
      </c>
      <c r="AM11">
        <v>0.96</v>
      </c>
      <c r="AN11">
        <v>1.28</v>
      </c>
      <c r="AO11">
        <f t="shared" si="17"/>
        <v>3.9106667462030106E-2</v>
      </c>
      <c r="AP11">
        <f t="shared" si="18"/>
        <v>0.10863118838145679</v>
      </c>
      <c r="AQ11">
        <v>0.86299999999999999</v>
      </c>
      <c r="AS11">
        <v>0.86</v>
      </c>
      <c r="AT11">
        <v>1.1399999999999999</v>
      </c>
      <c r="AU11">
        <f t="shared" si="19"/>
        <v>3.5176351045450097E-2</v>
      </c>
      <c r="AV11">
        <f t="shared" si="20"/>
        <v>0.11230827190210678</v>
      </c>
      <c r="AW11">
        <v>0.88800000000000001</v>
      </c>
      <c r="AY11">
        <v>3.91</v>
      </c>
      <c r="AZ11">
        <v>0.74739999999999995</v>
      </c>
      <c r="BA11">
        <f t="shared" si="56"/>
        <v>0.98766600000000027</v>
      </c>
      <c r="BB11">
        <f t="shared" si="57"/>
        <v>2.9223339999999998</v>
      </c>
      <c r="BC11">
        <f t="shared" si="21"/>
        <v>9.0264772058665024E-2</v>
      </c>
      <c r="BD11">
        <f t="shared" si="22"/>
        <v>0.23716944616286209</v>
      </c>
      <c r="BE11">
        <v>1.5953999999999999</v>
      </c>
      <c r="BF11">
        <f t="shared" si="23"/>
        <v>0.79871363533248319</v>
      </c>
      <c r="BH11">
        <v>11.372999999999999</v>
      </c>
      <c r="BI11">
        <v>0.74929999999999997</v>
      </c>
      <c r="BJ11">
        <f t="shared" si="24"/>
        <v>2.8512111</v>
      </c>
      <c r="BK11">
        <f t="shared" si="25"/>
        <v>8.5217888999999989</v>
      </c>
      <c r="BL11">
        <f t="shared" si="26"/>
        <v>0.22265655593958761</v>
      </c>
      <c r="BM11">
        <f t="shared" si="27"/>
        <v>0.51062143156563511</v>
      </c>
      <c r="BN11">
        <v>1.5323</v>
      </c>
      <c r="BO11">
        <f t="shared" si="28"/>
        <v>0.5337213529661512</v>
      </c>
      <c r="BQ11">
        <v>5.0087000000000002</v>
      </c>
      <c r="BR11">
        <v>0.75619999999999998</v>
      </c>
      <c r="BS11">
        <f t="shared" si="29"/>
        <v>1.2211210600000002</v>
      </c>
      <c r="BT11">
        <f t="shared" si="30"/>
        <v>3.7875789399999999</v>
      </c>
      <c r="BU11">
        <f t="shared" si="31"/>
        <v>0.11497772980623183</v>
      </c>
      <c r="BV11">
        <f t="shared" si="32"/>
        <v>0.31682377194388889</v>
      </c>
      <c r="BW11">
        <v>1.1874</v>
      </c>
      <c r="BX11">
        <f t="shared" si="33"/>
        <v>0.80712267958440487</v>
      </c>
      <c r="BZ11">
        <v>1.081</v>
      </c>
      <c r="CA11">
        <v>0.36749999999999999</v>
      </c>
      <c r="CB11">
        <f t="shared" si="34"/>
        <v>3.7918758127061032E-2</v>
      </c>
      <c r="CC11">
        <f t="shared" si="35"/>
        <v>2.1025149178635204E-2</v>
      </c>
      <c r="CD11" s="2">
        <v>0.94799999999999995</v>
      </c>
      <c r="CF11">
        <v>0.49099999999999999</v>
      </c>
      <c r="CG11">
        <v>1.254</v>
      </c>
      <c r="CH11">
        <f t="shared" si="36"/>
        <v>1.7587019636647484E-2</v>
      </c>
      <c r="CI11">
        <f t="shared" si="37"/>
        <v>0.20705431127663446</v>
      </c>
      <c r="CJ11">
        <v>0.91500000000000004</v>
      </c>
      <c r="CL11">
        <v>0.50919999999999999</v>
      </c>
      <c r="CM11">
        <v>8.9770000000000003</v>
      </c>
      <c r="CN11">
        <f t="shared" si="38"/>
        <v>1.822703914420689E-2</v>
      </c>
      <c r="CO11">
        <f t="shared" si="39"/>
        <v>0.52361531311517351</v>
      </c>
      <c r="CP11">
        <v>0.61599999999999999</v>
      </c>
      <c r="CR11">
        <v>1.01</v>
      </c>
      <c r="CS11">
        <v>1.3140000000000001</v>
      </c>
      <c r="CT11">
        <f t="shared" si="40"/>
        <v>3.5516711312598093E-2</v>
      </c>
      <c r="CU11">
        <f t="shared" si="41"/>
        <v>0.30641919851633637</v>
      </c>
      <c r="CV11">
        <v>0.88400000000000001</v>
      </c>
      <c r="CX11">
        <v>0.47339999999999999</v>
      </c>
      <c r="CY11">
        <v>0.503</v>
      </c>
      <c r="CZ11">
        <f t="shared" si="42"/>
        <v>1.6967305524017352E-2</v>
      </c>
      <c r="DA11">
        <f t="shared" si="43"/>
        <v>6.6681953171849648E-2</v>
      </c>
      <c r="DB11">
        <v>0.96699999999999997</v>
      </c>
      <c r="DD11">
        <v>0.5</v>
      </c>
      <c r="DE11">
        <v>1</v>
      </c>
      <c r="DF11">
        <f t="shared" si="44"/>
        <v>2.0757013583079468E-2</v>
      </c>
      <c r="DG11">
        <f t="shared" si="45"/>
        <v>6.93778791121865E-2</v>
      </c>
      <c r="DH11">
        <v>0.95</v>
      </c>
      <c r="DJ11">
        <v>1.67</v>
      </c>
      <c r="DK11">
        <v>0.83</v>
      </c>
      <c r="DL11">
        <f t="shared" si="46"/>
        <v>6.6117027975715822E-2</v>
      </c>
      <c r="DM11">
        <f t="shared" si="47"/>
        <v>0.12260598656464096</v>
      </c>
      <c r="DN11">
        <v>0.90400000000000003</v>
      </c>
      <c r="DP11">
        <v>1.67</v>
      </c>
      <c r="DQ11">
        <v>0.83</v>
      </c>
      <c r="DR11">
        <f t="shared" si="48"/>
        <v>8.8916966443354145E-2</v>
      </c>
      <c r="DS11">
        <f t="shared" si="49"/>
        <v>0.12260598656464096</v>
      </c>
      <c r="DT11">
        <v>0.91500000000000004</v>
      </c>
      <c r="DV11">
        <v>0.35</v>
      </c>
      <c r="DW11">
        <v>2.11</v>
      </c>
      <c r="DX11">
        <f t="shared" si="50"/>
        <v>3.2248855271364667E-2</v>
      </c>
      <c r="DY11">
        <f t="shared" si="51"/>
        <v>0.10977252551480964</v>
      </c>
      <c r="DZ11">
        <v>0.90269999999999995</v>
      </c>
      <c r="EB11" s="2">
        <v>0.5</v>
      </c>
      <c r="EC11" s="2">
        <v>1</v>
      </c>
      <c r="ED11">
        <f t="shared" si="52"/>
        <v>4.5441745696135467E-2</v>
      </c>
      <c r="EE11">
        <f t="shared" si="53"/>
        <v>9.9893787466921097E-2</v>
      </c>
      <c r="EF11">
        <v>0.90200000000000002</v>
      </c>
      <c r="EH11">
        <v>1.5</v>
      </c>
      <c r="EI11">
        <v>3</v>
      </c>
      <c r="EJ11">
        <f t="shared" si="54"/>
        <v>7.4275504866996536E-2</v>
      </c>
      <c r="EK11">
        <f t="shared" si="55"/>
        <v>0.11283182307737351</v>
      </c>
      <c r="EL11">
        <v>0.80700000000000005</v>
      </c>
    </row>
    <row r="12" spans="1:142" ht="49" customHeight="1" x14ac:dyDescent="0.2">
      <c r="F12">
        <v>0.73460000000000003</v>
      </c>
      <c r="G12">
        <v>0.38890000000000002</v>
      </c>
      <c r="H12">
        <f t="shared" si="0"/>
        <v>0.44891406</v>
      </c>
      <c r="I12">
        <f t="shared" si="1"/>
        <v>0.28568594000000003</v>
      </c>
      <c r="J12">
        <f t="shared" si="2"/>
        <v>2.5563881065682973E-2</v>
      </c>
      <c r="K12">
        <f t="shared" si="3"/>
        <v>1.1966439763903616E-2</v>
      </c>
      <c r="L12">
        <v>0.95150000000000001</v>
      </c>
      <c r="M12">
        <f t="shared" si="4"/>
        <v>0.97513082355135128</v>
      </c>
      <c r="O12">
        <v>2.7343000000000002</v>
      </c>
      <c r="P12">
        <v>0.40560000000000002</v>
      </c>
      <c r="Q12">
        <f t="shared" si="5"/>
        <v>1.6252679200000002</v>
      </c>
      <c r="R12">
        <f t="shared" si="6"/>
        <v>1.1090320800000002</v>
      </c>
      <c r="S12">
        <f t="shared" si="7"/>
        <v>0.12137281996993191</v>
      </c>
      <c r="T12">
        <f t="shared" si="8"/>
        <v>7.1031984049925279E-2</v>
      </c>
      <c r="U12">
        <v>0.94750000000000001</v>
      </c>
      <c r="V12">
        <f t="shared" si="9"/>
        <v>0.9108805457059358</v>
      </c>
      <c r="X12">
        <v>1.9539</v>
      </c>
      <c r="Y12">
        <v>0.50009999999999999</v>
      </c>
      <c r="Z12">
        <f t="shared" si="10"/>
        <v>0.97675460999999997</v>
      </c>
      <c r="AA12">
        <f t="shared" si="11"/>
        <v>0.97714539</v>
      </c>
      <c r="AB12">
        <f t="shared" si="12"/>
        <v>7.4183018453028951E-2</v>
      </c>
      <c r="AC12">
        <f t="shared" si="13"/>
        <v>6.0567163469122262E-2</v>
      </c>
      <c r="AD12">
        <v>1.0605</v>
      </c>
      <c r="AE12">
        <f t="shared" si="14"/>
        <v>0.9280615591410184</v>
      </c>
      <c r="AG12">
        <v>0.39</v>
      </c>
      <c r="AH12">
        <v>0.52</v>
      </c>
      <c r="AI12">
        <f t="shared" si="15"/>
        <v>1.6264744248606588E-2</v>
      </c>
      <c r="AJ12">
        <f t="shared" si="16"/>
        <v>9.7700616342662999E-2</v>
      </c>
      <c r="AK12">
        <v>0.9607</v>
      </c>
      <c r="AM12">
        <v>1.07</v>
      </c>
      <c r="AN12">
        <v>1.43</v>
      </c>
      <c r="AO12">
        <f t="shared" si="17"/>
        <v>4.3393196065231329E-2</v>
      </c>
      <c r="AP12">
        <f t="shared" si="18"/>
        <v>0.11983586910526467</v>
      </c>
      <c r="AQ12">
        <v>0.84</v>
      </c>
      <c r="AS12">
        <v>1.07</v>
      </c>
      <c r="AT12">
        <v>1.43</v>
      </c>
      <c r="AU12">
        <f t="shared" si="19"/>
        <v>4.3393196065231329E-2</v>
      </c>
      <c r="AV12">
        <f t="shared" si="20"/>
        <v>0.13696488154756695</v>
      </c>
      <c r="AW12">
        <v>0.84899999999999998</v>
      </c>
      <c r="AY12">
        <v>2.988</v>
      </c>
      <c r="AZ12">
        <v>0.25090000000000001</v>
      </c>
      <c r="BA12">
        <f t="shared" si="56"/>
        <v>2.2383107999999998</v>
      </c>
      <c r="BB12">
        <f t="shared" si="57"/>
        <v>0.74968920000000006</v>
      </c>
      <c r="BC12">
        <f t="shared" si="21"/>
        <v>0.18358063282064049</v>
      </c>
      <c r="BD12">
        <f t="shared" si="22"/>
        <v>7.3867781542241592E-2</v>
      </c>
      <c r="BE12">
        <v>1.4093</v>
      </c>
      <c r="BF12">
        <f t="shared" si="23"/>
        <v>0.85922883732673927</v>
      </c>
      <c r="BH12">
        <v>6.5679999999999996</v>
      </c>
      <c r="BI12">
        <v>0.24859999999999999</v>
      </c>
      <c r="BJ12">
        <f t="shared" si="24"/>
        <v>4.9351951999999999</v>
      </c>
      <c r="BK12">
        <f t="shared" si="25"/>
        <v>1.6328047999999997</v>
      </c>
      <c r="BL12">
        <f t="shared" si="26"/>
        <v>0.33145682614766953</v>
      </c>
      <c r="BM12">
        <f t="shared" si="27"/>
        <v>0.16661153781988017</v>
      </c>
      <c r="BN12">
        <v>1.8666</v>
      </c>
      <c r="BO12">
        <f t="shared" si="28"/>
        <v>0.64293217401450631</v>
      </c>
      <c r="BQ12">
        <v>3.4056000000000002</v>
      </c>
      <c r="BR12">
        <v>0.25090000000000001</v>
      </c>
      <c r="BS12">
        <f t="shared" si="29"/>
        <v>2.5511349600000002</v>
      </c>
      <c r="BT12">
        <f t="shared" si="30"/>
        <v>0.85446504000000012</v>
      </c>
      <c r="BU12">
        <f t="shared" si="31"/>
        <v>0.21347490423538285</v>
      </c>
      <c r="BV12">
        <f t="shared" si="32"/>
        <v>9.4711876705898465E-2</v>
      </c>
      <c r="BW12">
        <v>1.3527</v>
      </c>
      <c r="BX12">
        <f t="shared" si="33"/>
        <v>0.84706377895546558</v>
      </c>
      <c r="BZ12">
        <v>1.081</v>
      </c>
      <c r="CA12">
        <v>2.6629999999999998</v>
      </c>
      <c r="CB12">
        <f t="shared" si="34"/>
        <v>3.7918758127061032E-2</v>
      </c>
      <c r="CC12">
        <f t="shared" si="35"/>
        <v>0.13466792691322238</v>
      </c>
      <c r="CD12" s="2">
        <v>0.85599999999999998</v>
      </c>
      <c r="CF12">
        <v>0.80969999999999998</v>
      </c>
      <c r="CG12">
        <v>0.4587</v>
      </c>
      <c r="CH12">
        <f t="shared" si="36"/>
        <v>2.8675124661922846E-2</v>
      </c>
      <c r="CI12">
        <f t="shared" si="37"/>
        <v>8.7187388756953352E-2</v>
      </c>
      <c r="CJ12">
        <v>0.94699999999999995</v>
      </c>
      <c r="CL12">
        <v>0.50919999999999999</v>
      </c>
      <c r="CM12">
        <v>13.74</v>
      </c>
      <c r="CN12">
        <f t="shared" si="38"/>
        <v>1.822703914420689E-2</v>
      </c>
      <c r="CO12">
        <f t="shared" si="39"/>
        <v>0.62718918240201715</v>
      </c>
      <c r="CP12">
        <v>0.52500000000000002</v>
      </c>
      <c r="CR12">
        <v>1.01</v>
      </c>
      <c r="CS12">
        <v>1.833</v>
      </c>
      <c r="CT12">
        <f t="shared" si="40"/>
        <v>3.5516711312598093E-2</v>
      </c>
      <c r="CU12">
        <f t="shared" si="41"/>
        <v>0.38129963036488856</v>
      </c>
      <c r="CV12">
        <v>0.82499999999999996</v>
      </c>
      <c r="CX12">
        <v>0.47339999999999999</v>
      </c>
      <c r="CY12">
        <v>1.1060000000000001</v>
      </c>
      <c r="CZ12">
        <f t="shared" si="42"/>
        <v>1.6967305524017352E-2</v>
      </c>
      <c r="DA12">
        <f t="shared" si="43"/>
        <v>0.13576765230867921</v>
      </c>
      <c r="DB12">
        <v>0.94499999999999995</v>
      </c>
      <c r="DD12">
        <v>0.67</v>
      </c>
      <c r="DE12">
        <v>1.33</v>
      </c>
      <c r="DF12">
        <f t="shared" si="44"/>
        <v>2.7619476929678942E-2</v>
      </c>
      <c r="DG12">
        <f t="shared" si="45"/>
        <v>9.0207309911327041E-2</v>
      </c>
      <c r="DH12">
        <v>0.93200000000000005</v>
      </c>
      <c r="DJ12">
        <v>2</v>
      </c>
      <c r="DK12">
        <v>1</v>
      </c>
      <c r="DL12">
        <f t="shared" si="46"/>
        <v>7.8160894110185578E-2</v>
      </c>
      <c r="DM12">
        <f t="shared" si="47"/>
        <v>0.14409942141120888</v>
      </c>
      <c r="DN12">
        <v>0.88400000000000001</v>
      </c>
      <c r="DP12">
        <v>2</v>
      </c>
      <c r="DQ12">
        <v>1</v>
      </c>
      <c r="DR12">
        <f t="shared" si="48"/>
        <v>0.10464866413580688</v>
      </c>
      <c r="DS12">
        <f t="shared" si="49"/>
        <v>0.14409942141120888</v>
      </c>
      <c r="DT12">
        <v>0.89700000000000002</v>
      </c>
      <c r="DV12">
        <v>0.4</v>
      </c>
      <c r="DW12">
        <v>2.41</v>
      </c>
      <c r="DX12">
        <f t="shared" si="50"/>
        <v>3.6686819178409456E-2</v>
      </c>
      <c r="DY12">
        <f t="shared" si="51"/>
        <v>0.12345320169236643</v>
      </c>
      <c r="DZ12">
        <v>0.87790000000000001</v>
      </c>
      <c r="EB12" s="2">
        <v>0.6</v>
      </c>
      <c r="EC12" s="2">
        <v>1.2</v>
      </c>
      <c r="ED12">
        <f t="shared" si="52"/>
        <v>5.403896981059967E-2</v>
      </c>
      <c r="EE12">
        <f t="shared" si="53"/>
        <v>0.11752455046700602</v>
      </c>
      <c r="EF12">
        <v>0.873</v>
      </c>
      <c r="EH12">
        <v>2</v>
      </c>
      <c r="EI12">
        <v>4</v>
      </c>
      <c r="EJ12">
        <f t="shared" si="54"/>
        <v>9.6641312399501342E-2</v>
      </c>
      <c r="EK12">
        <f t="shared" si="55"/>
        <v>0.14498929526597673</v>
      </c>
      <c r="EL12">
        <v>0.72199999999999998</v>
      </c>
    </row>
    <row r="13" spans="1:142" ht="49" customHeight="1" x14ac:dyDescent="0.2">
      <c r="F13">
        <v>0.74329999999999996</v>
      </c>
      <c r="G13">
        <v>0.19539999999999999</v>
      </c>
      <c r="H13">
        <f t="shared" si="0"/>
        <v>0.59805917999999991</v>
      </c>
      <c r="I13">
        <f t="shared" si="1"/>
        <v>0.14524081999999999</v>
      </c>
      <c r="J13">
        <f t="shared" si="2"/>
        <v>3.377028739918949E-2</v>
      </c>
      <c r="K13">
        <f t="shared" si="3"/>
        <v>6.1196585090981083E-3</v>
      </c>
      <c r="L13">
        <v>0.94040000000000001</v>
      </c>
      <c r="M13">
        <f t="shared" si="4"/>
        <v>0.97512986019073244</v>
      </c>
      <c r="O13">
        <v>2.9432</v>
      </c>
      <c r="P13">
        <v>0.20399999999999999</v>
      </c>
      <c r="Q13">
        <f t="shared" si="5"/>
        <v>2.3427872000000001</v>
      </c>
      <c r="R13">
        <f t="shared" si="6"/>
        <v>0.60041279999999997</v>
      </c>
      <c r="S13">
        <f t="shared" si="7"/>
        <v>0.16605823333631867</v>
      </c>
      <c r="T13">
        <f t="shared" si="8"/>
        <v>3.9750544929730861E-2</v>
      </c>
      <c r="U13">
        <v>0.88019999999999998</v>
      </c>
      <c r="V13">
        <f t="shared" si="9"/>
        <v>0.91088529161762255</v>
      </c>
      <c r="X13">
        <v>1.9698</v>
      </c>
      <c r="Y13">
        <v>0.6694</v>
      </c>
      <c r="Z13">
        <f t="shared" si="10"/>
        <v>0.65121587999999997</v>
      </c>
      <c r="AA13">
        <f t="shared" si="11"/>
        <v>1.3185841199999999</v>
      </c>
      <c r="AB13">
        <f t="shared" si="12"/>
        <v>5.0712678714188879E-2</v>
      </c>
      <c r="AC13">
        <f t="shared" si="13"/>
        <v>8.0036951068934714E-2</v>
      </c>
      <c r="AD13">
        <v>1.0517000000000001</v>
      </c>
      <c r="AE13">
        <f t="shared" si="14"/>
        <v>0.92807735153601212</v>
      </c>
      <c r="AG13">
        <v>0.51</v>
      </c>
      <c r="AH13">
        <v>0.68</v>
      </c>
      <c r="AI13">
        <f t="shared" si="15"/>
        <v>2.1163368088363579E-2</v>
      </c>
      <c r="AJ13">
        <f t="shared" si="16"/>
        <v>0.1240336777516117</v>
      </c>
      <c r="AK13">
        <v>0.94689999999999996</v>
      </c>
      <c r="AM13">
        <v>1.2</v>
      </c>
      <c r="AN13">
        <v>1.6</v>
      </c>
      <c r="AO13">
        <f t="shared" si="17"/>
        <v>4.8410045440323513E-2</v>
      </c>
      <c r="AP13">
        <f t="shared" si="18"/>
        <v>0.13219875841940765</v>
      </c>
      <c r="AQ13">
        <v>0.81299999999999994</v>
      </c>
      <c r="AS13">
        <v>1.27</v>
      </c>
      <c r="AT13">
        <v>1.73</v>
      </c>
      <c r="AU13">
        <f t="shared" si="19"/>
        <v>5.1089691590675237E-2</v>
      </c>
      <c r="AV13">
        <f t="shared" si="20"/>
        <v>0.16107058802408131</v>
      </c>
      <c r="AW13">
        <v>0.80800000000000005</v>
      </c>
      <c r="AY13">
        <v>2.9802</v>
      </c>
      <c r="AZ13">
        <v>0.49969999999999998</v>
      </c>
      <c r="BA13">
        <f t="shared" si="56"/>
        <v>1.4909940599999998</v>
      </c>
      <c r="BB13">
        <f t="shared" si="57"/>
        <v>1.48920594</v>
      </c>
      <c r="BC13">
        <f t="shared" si="21"/>
        <v>0.13027238046339362</v>
      </c>
      <c r="BD13">
        <f t="shared" si="22"/>
        <v>0.13676762045258523</v>
      </c>
      <c r="BE13">
        <v>1.413</v>
      </c>
      <c r="BF13">
        <f t="shared" si="23"/>
        <v>0.85922777857667143</v>
      </c>
      <c r="BH13">
        <v>7.4695999999999998</v>
      </c>
      <c r="BI13">
        <v>0.50049999999999994</v>
      </c>
      <c r="BJ13">
        <f t="shared" si="24"/>
        <v>3.7310652000000002</v>
      </c>
      <c r="BK13">
        <f t="shared" si="25"/>
        <v>3.7385347999999996</v>
      </c>
      <c r="BL13">
        <f t="shared" si="26"/>
        <v>0.27263354031359216</v>
      </c>
      <c r="BM13">
        <f t="shared" si="27"/>
        <v>0.314009531031961</v>
      </c>
      <c r="BN13">
        <v>1.6413</v>
      </c>
      <c r="BO13">
        <f t="shared" si="28"/>
        <v>0.64293157914905541</v>
      </c>
      <c r="BQ13">
        <v>3.6945999999999999</v>
      </c>
      <c r="BR13">
        <v>0.49819999999999998</v>
      </c>
      <c r="BS13">
        <f t="shared" si="29"/>
        <v>1.8539502800000001</v>
      </c>
      <c r="BT13">
        <f t="shared" si="30"/>
        <v>1.8406497199999998</v>
      </c>
      <c r="BU13">
        <f t="shared" si="31"/>
        <v>0.16474681654446055</v>
      </c>
      <c r="BV13">
        <f t="shared" si="32"/>
        <v>0.18391939392390216</v>
      </c>
      <c r="BW13">
        <v>1.2467999999999999</v>
      </c>
      <c r="BX13">
        <f t="shared" si="33"/>
        <v>0.84707378446904491</v>
      </c>
      <c r="BZ13">
        <v>1.865</v>
      </c>
      <c r="CA13">
        <v>2.294</v>
      </c>
      <c r="CB13">
        <f t="shared" si="34"/>
        <v>6.3668570883894063E-2</v>
      </c>
      <c r="CC13">
        <f t="shared" si="35"/>
        <v>0.11821349772467338</v>
      </c>
      <c r="CD13" s="2">
        <v>0.80500000000000005</v>
      </c>
      <c r="CF13">
        <v>0.86360000000000003</v>
      </c>
      <c r="CG13">
        <v>0.44040000000000001</v>
      </c>
      <c r="CH13">
        <f t="shared" si="36"/>
        <v>3.0525697750626503E-2</v>
      </c>
      <c r="CI13">
        <f t="shared" si="37"/>
        <v>8.4001204237968821E-2</v>
      </c>
      <c r="CJ13">
        <v>0.94199999999999995</v>
      </c>
      <c r="CR13">
        <v>1.01</v>
      </c>
      <c r="CS13">
        <v>2.5449999999999999</v>
      </c>
      <c r="CT13">
        <f t="shared" si="40"/>
        <v>3.5516711312598093E-2</v>
      </c>
      <c r="CU13">
        <f t="shared" si="41"/>
        <v>0.46111395613004158</v>
      </c>
      <c r="CV13">
        <v>0.77100000000000002</v>
      </c>
      <c r="CX13">
        <v>0.47339999999999999</v>
      </c>
      <c r="CY13">
        <v>1.71</v>
      </c>
      <c r="CZ13">
        <f t="shared" si="42"/>
        <v>1.6967305524017352E-2</v>
      </c>
      <c r="DA13">
        <f t="shared" si="43"/>
        <v>0.19542253351145605</v>
      </c>
      <c r="DB13">
        <v>0.92500000000000004</v>
      </c>
      <c r="DD13">
        <v>0.83</v>
      </c>
      <c r="DE13">
        <v>1.67</v>
      </c>
      <c r="DF13">
        <f t="shared" si="44"/>
        <v>3.3990978750873445E-2</v>
      </c>
      <c r="DG13">
        <f t="shared" si="45"/>
        <v>0.11071468748068582</v>
      </c>
      <c r="DH13">
        <v>0.91400000000000003</v>
      </c>
      <c r="DJ13">
        <v>2.67</v>
      </c>
      <c r="DK13">
        <v>1.33</v>
      </c>
      <c r="DL13">
        <f t="shared" si="46"/>
        <v>0.10168235311936041</v>
      </c>
      <c r="DM13">
        <f t="shared" si="47"/>
        <v>0.18295233311229472</v>
      </c>
      <c r="DN13">
        <v>0.83499999999999996</v>
      </c>
      <c r="DP13">
        <v>2.67</v>
      </c>
      <c r="DQ13">
        <v>1.33</v>
      </c>
      <c r="DR13">
        <f t="shared" si="48"/>
        <v>0.13497413745676168</v>
      </c>
      <c r="DS13">
        <f t="shared" si="49"/>
        <v>0.18295233311229472</v>
      </c>
      <c r="DT13">
        <v>0.85899999999999999</v>
      </c>
      <c r="DV13">
        <v>0.45</v>
      </c>
      <c r="DW13">
        <v>2.71</v>
      </c>
      <c r="DX13">
        <f t="shared" si="50"/>
        <v>4.1084265199653441E-2</v>
      </c>
      <c r="DY13">
        <f t="shared" si="51"/>
        <v>0.13671976300540309</v>
      </c>
      <c r="DZ13">
        <v>0.86890000000000001</v>
      </c>
      <c r="EB13" s="2">
        <v>0.67</v>
      </c>
      <c r="EC13" s="2">
        <v>1.33</v>
      </c>
      <c r="ED13">
        <f t="shared" si="52"/>
        <v>5.9965461250977278E-2</v>
      </c>
      <c r="EE13">
        <f t="shared" si="53"/>
        <v>0.12861882423840854</v>
      </c>
      <c r="EF13">
        <v>0.85499999999999998</v>
      </c>
      <c r="EH13">
        <v>0.2</v>
      </c>
      <c r="EI13">
        <v>0.2</v>
      </c>
      <c r="EJ13">
        <f t="shared" si="54"/>
        <v>1.0584764192666849E-2</v>
      </c>
      <c r="EK13">
        <f t="shared" si="55"/>
        <v>8.4075143671835245E-3</v>
      </c>
      <c r="EL13">
        <v>0.98619999999999997</v>
      </c>
    </row>
    <row r="14" spans="1:142" ht="49" customHeight="1" x14ac:dyDescent="0.2">
      <c r="F14">
        <v>1.0714999999999999</v>
      </c>
      <c r="G14">
        <v>0.79690000000000005</v>
      </c>
      <c r="H14">
        <f t="shared" si="0"/>
        <v>0.21762164999999992</v>
      </c>
      <c r="I14">
        <f t="shared" si="1"/>
        <v>0.85387835000000001</v>
      </c>
      <c r="J14">
        <f t="shared" si="2"/>
        <v>1.2558097734767754E-2</v>
      </c>
      <c r="K14">
        <f t="shared" si="3"/>
        <v>3.4934706203892496E-2</v>
      </c>
      <c r="L14">
        <v>1.0074000000000001</v>
      </c>
      <c r="M14">
        <f t="shared" si="4"/>
        <v>0.96185522010144342</v>
      </c>
      <c r="O14">
        <v>3.3239999999999998</v>
      </c>
      <c r="P14">
        <v>0.49730000000000002</v>
      </c>
      <c r="Q14">
        <f t="shared" si="5"/>
        <v>1.6709747999999998</v>
      </c>
      <c r="R14">
        <f t="shared" si="6"/>
        <v>1.6530252000000001</v>
      </c>
      <c r="S14">
        <f t="shared" si="7"/>
        <v>0.12436166105575312</v>
      </c>
      <c r="T14">
        <f t="shared" si="8"/>
        <v>0.1023093342789</v>
      </c>
      <c r="U14">
        <v>0.99939999999999996</v>
      </c>
      <c r="V14">
        <f t="shared" si="9"/>
        <v>0.88719511620889291</v>
      </c>
      <c r="X14">
        <v>2.1534</v>
      </c>
      <c r="Y14">
        <v>0.52549999999999997</v>
      </c>
      <c r="Z14">
        <f t="shared" si="10"/>
        <v>1.0217883000000001</v>
      </c>
      <c r="AA14">
        <f t="shared" si="11"/>
        <v>1.1316116999999999</v>
      </c>
      <c r="AB14">
        <f t="shared" si="12"/>
        <v>7.7338741272806086E-2</v>
      </c>
      <c r="AC14">
        <f t="shared" si="13"/>
        <v>6.9476374040834579E-2</v>
      </c>
      <c r="AD14">
        <v>1.0763</v>
      </c>
      <c r="AE14">
        <f t="shared" si="14"/>
        <v>0.91988572013078329</v>
      </c>
      <c r="AG14">
        <v>0.6</v>
      </c>
      <c r="AH14">
        <v>0.8</v>
      </c>
      <c r="AI14">
        <f t="shared" si="15"/>
        <v>2.4805438933121548E-2</v>
      </c>
      <c r="AJ14">
        <f t="shared" si="16"/>
        <v>0.14279640385947348</v>
      </c>
      <c r="AK14">
        <v>0.93579999999999997</v>
      </c>
      <c r="AM14">
        <v>1.29</v>
      </c>
      <c r="AN14">
        <v>1.71</v>
      </c>
      <c r="AO14">
        <f t="shared" si="17"/>
        <v>5.1852535079891758E-2</v>
      </c>
      <c r="AP14">
        <f t="shared" si="18"/>
        <v>0.14001487481871619</v>
      </c>
      <c r="AQ14">
        <v>0.79400000000000004</v>
      </c>
      <c r="AS14">
        <v>1.71</v>
      </c>
      <c r="AT14">
        <v>2.29</v>
      </c>
      <c r="AU14">
        <f t="shared" si="19"/>
        <v>6.7593625301719709E-2</v>
      </c>
      <c r="AV14">
        <f t="shared" si="20"/>
        <v>0.20264352376704373</v>
      </c>
      <c r="AW14">
        <v>0.71799999999999997</v>
      </c>
      <c r="AY14">
        <v>2.9746000000000001</v>
      </c>
      <c r="AZ14">
        <v>0.74739999999999995</v>
      </c>
      <c r="BA14">
        <f t="shared" si="56"/>
        <v>0.75138396000000018</v>
      </c>
      <c r="BB14">
        <f t="shared" si="57"/>
        <v>2.2232160400000001</v>
      </c>
      <c r="BC14">
        <f t="shared" si="21"/>
        <v>7.0186102565930358E-2</v>
      </c>
      <c r="BD14">
        <f t="shared" si="22"/>
        <v>0.1912839524862045</v>
      </c>
      <c r="BE14">
        <v>1.4157</v>
      </c>
      <c r="BF14">
        <f t="shared" si="23"/>
        <v>0.8592241063957563</v>
      </c>
      <c r="BH14">
        <v>8.6928000000000001</v>
      </c>
      <c r="BI14">
        <v>0.74929999999999997</v>
      </c>
      <c r="BJ14">
        <f t="shared" si="24"/>
        <v>2.1792849600000004</v>
      </c>
      <c r="BK14">
        <f t="shared" si="25"/>
        <v>6.5135150399999997</v>
      </c>
      <c r="BL14">
        <f t="shared" si="26"/>
        <v>0.17960899591038443</v>
      </c>
      <c r="BM14">
        <f t="shared" si="27"/>
        <v>0.44367634119434068</v>
      </c>
      <c r="BN14">
        <v>1.4104000000000001</v>
      </c>
      <c r="BO14">
        <f t="shared" si="28"/>
        <v>0.64292067708625844</v>
      </c>
      <c r="BQ14">
        <v>4.0781999999999998</v>
      </c>
      <c r="BR14">
        <v>0.75619999999999998</v>
      </c>
      <c r="BS14">
        <f t="shared" si="29"/>
        <v>0.99426515999999998</v>
      </c>
      <c r="BT14">
        <f t="shared" si="30"/>
        <v>3.08393484</v>
      </c>
      <c r="BU14">
        <f t="shared" si="31"/>
        <v>9.5660875375472229E-2</v>
      </c>
      <c r="BV14">
        <f t="shared" si="32"/>
        <v>0.27409829347447595</v>
      </c>
      <c r="BW14">
        <v>1.1295999999999999</v>
      </c>
      <c r="BX14">
        <f t="shared" si="33"/>
        <v>0.84706440154986096</v>
      </c>
      <c r="BZ14">
        <v>1.865</v>
      </c>
      <c r="CA14">
        <v>2.5129999999999999</v>
      </c>
      <c r="CB14">
        <f t="shared" si="34"/>
        <v>6.3668570883894063E-2</v>
      </c>
      <c r="CC14">
        <f t="shared" si="35"/>
        <v>0.12805377801567572</v>
      </c>
      <c r="CD14" s="2">
        <v>0.79100000000000004</v>
      </c>
      <c r="CF14">
        <v>0.92579999999999996</v>
      </c>
      <c r="CG14">
        <v>0.41970000000000002</v>
      </c>
      <c r="CH14">
        <f t="shared" si="36"/>
        <v>3.2652493908738506E-2</v>
      </c>
      <c r="CI14">
        <f t="shared" si="37"/>
        <v>8.037024341820731E-2</v>
      </c>
      <c r="CJ14">
        <v>0.94199999999999995</v>
      </c>
      <c r="CR14">
        <v>1.01</v>
      </c>
      <c r="CS14">
        <v>3.0329999999999999</v>
      </c>
      <c r="CT14">
        <f t="shared" si="40"/>
        <v>3.5516711312598093E-2</v>
      </c>
      <c r="CU14">
        <f t="shared" si="41"/>
        <v>0.50489050836783056</v>
      </c>
      <c r="CV14">
        <v>0.72</v>
      </c>
      <c r="CX14">
        <v>0.97619999999999996</v>
      </c>
      <c r="CY14">
        <v>0.1023</v>
      </c>
      <c r="CZ14">
        <f t="shared" si="42"/>
        <v>3.4368982513399489E-2</v>
      </c>
      <c r="DA14">
        <f t="shared" si="43"/>
        <v>1.4322575072967829E-2</v>
      </c>
      <c r="DB14">
        <v>0.96199999999999997</v>
      </c>
      <c r="DD14">
        <v>1</v>
      </c>
      <c r="DE14">
        <v>2</v>
      </c>
      <c r="DF14">
        <f t="shared" si="44"/>
        <v>4.0669842689040801E-2</v>
      </c>
      <c r="DG14">
        <f t="shared" si="45"/>
        <v>0.12975372030284568</v>
      </c>
      <c r="DH14">
        <v>0.89500000000000002</v>
      </c>
      <c r="DJ14">
        <v>3</v>
      </c>
      <c r="DK14">
        <v>1.5</v>
      </c>
      <c r="DL14">
        <f t="shared" si="46"/>
        <v>0.11283182307737351</v>
      </c>
      <c r="DM14">
        <f t="shared" si="47"/>
        <v>0.20162230347933</v>
      </c>
      <c r="DN14">
        <v>0.80500000000000005</v>
      </c>
      <c r="DP14">
        <v>3</v>
      </c>
      <c r="DQ14">
        <v>1.5</v>
      </c>
      <c r="DR14">
        <f t="shared" si="48"/>
        <v>0.14916788619269647</v>
      </c>
      <c r="DS14">
        <f t="shared" si="49"/>
        <v>0.20162230347933</v>
      </c>
      <c r="DT14">
        <v>0.83599999999999997</v>
      </c>
      <c r="DV14">
        <v>0.5</v>
      </c>
      <c r="DW14">
        <v>3.01</v>
      </c>
      <c r="DX14">
        <f t="shared" si="50"/>
        <v>4.5441745696135467E-2</v>
      </c>
      <c r="DY14">
        <f t="shared" si="51"/>
        <v>0.14959073203569948</v>
      </c>
      <c r="DZ14">
        <v>0.84</v>
      </c>
      <c r="EB14" s="2">
        <v>0.83</v>
      </c>
      <c r="EC14" s="2">
        <v>1.67</v>
      </c>
      <c r="ED14">
        <f t="shared" si="52"/>
        <v>7.3236812183006442E-2</v>
      </c>
      <c r="EE14">
        <f t="shared" si="53"/>
        <v>0.15635778056629654</v>
      </c>
      <c r="EF14">
        <v>0.79600000000000004</v>
      </c>
      <c r="EH14">
        <v>0.4</v>
      </c>
      <c r="EI14">
        <v>0.5</v>
      </c>
      <c r="EJ14">
        <f t="shared" si="54"/>
        <v>2.0947800852950279E-2</v>
      </c>
      <c r="EK14">
        <f t="shared" si="55"/>
        <v>2.0757013583079468E-2</v>
      </c>
      <c r="EL14">
        <v>0.96530000000000005</v>
      </c>
    </row>
    <row r="15" spans="1:142" ht="49" customHeight="1" x14ac:dyDescent="0.2">
      <c r="F15">
        <v>1.0894999999999999</v>
      </c>
      <c r="G15">
        <v>0.56850000000000001</v>
      </c>
      <c r="H15">
        <f t="shared" si="0"/>
        <v>0.47011924999999993</v>
      </c>
      <c r="I15">
        <f t="shared" si="1"/>
        <v>0.61938074999999992</v>
      </c>
      <c r="J15">
        <f t="shared" si="2"/>
        <v>2.673914390782094E-2</v>
      </c>
      <c r="K15">
        <f t="shared" si="3"/>
        <v>2.5586184771746803E-2</v>
      </c>
      <c r="L15">
        <v>0.9909</v>
      </c>
      <c r="M15">
        <f t="shared" si="4"/>
        <v>0.96184979830987205</v>
      </c>
      <c r="O15">
        <v>3.1263000000000001</v>
      </c>
      <c r="P15">
        <v>0.80400000000000005</v>
      </c>
      <c r="Q15">
        <f t="shared" si="5"/>
        <v>0.61275479999999982</v>
      </c>
      <c r="R15">
        <f t="shared" si="6"/>
        <v>2.5135452000000003</v>
      </c>
      <c r="S15">
        <f t="shared" si="7"/>
        <v>4.9502761512686941E-2</v>
      </c>
      <c r="T15">
        <f t="shared" si="8"/>
        <v>0.14770225151176278</v>
      </c>
      <c r="U15">
        <v>1.1102000000000001</v>
      </c>
      <c r="V15">
        <f t="shared" si="9"/>
        <v>0.88245101393877612</v>
      </c>
      <c r="X15">
        <v>2.4504999999999999</v>
      </c>
      <c r="Y15">
        <v>0.34089999999999998</v>
      </c>
      <c r="Z15">
        <f t="shared" si="10"/>
        <v>1.61512455</v>
      </c>
      <c r="AA15">
        <f t="shared" si="11"/>
        <v>0.83537544999999991</v>
      </c>
      <c r="AB15">
        <f t="shared" si="12"/>
        <v>0.11699399329560393</v>
      </c>
      <c r="AC15">
        <f t="shared" si="13"/>
        <v>5.223877179598E-2</v>
      </c>
      <c r="AD15">
        <v>1.1096999999999999</v>
      </c>
      <c r="AE15">
        <f t="shared" si="14"/>
        <v>0.90667079523646854</v>
      </c>
      <c r="AG15">
        <v>0.75</v>
      </c>
      <c r="AH15">
        <v>1</v>
      </c>
      <c r="AI15">
        <f t="shared" si="15"/>
        <v>3.0815699428811235E-2</v>
      </c>
      <c r="AJ15">
        <f t="shared" si="16"/>
        <v>0.17234301416121103</v>
      </c>
      <c r="AK15">
        <v>0.91600000000000004</v>
      </c>
      <c r="AM15">
        <v>1.5</v>
      </c>
      <c r="AN15">
        <v>2</v>
      </c>
      <c r="AO15">
        <f t="shared" si="17"/>
        <v>5.978896023001324E-2</v>
      </c>
      <c r="AP15">
        <f t="shared" si="18"/>
        <v>0.15996176145938162</v>
      </c>
      <c r="AQ15">
        <v>0.74399999999999999</v>
      </c>
      <c r="AS15">
        <v>2.14</v>
      </c>
      <c r="AT15">
        <v>2.86</v>
      </c>
      <c r="AU15">
        <f t="shared" si="19"/>
        <v>8.3177073089747186E-2</v>
      </c>
      <c r="AV15">
        <f t="shared" si="20"/>
        <v>0.24093071610292613</v>
      </c>
      <c r="AW15">
        <v>0.625</v>
      </c>
      <c r="AY15">
        <v>2.2725</v>
      </c>
      <c r="AZ15">
        <v>0.25090000000000001</v>
      </c>
      <c r="BA15">
        <f t="shared" si="56"/>
        <v>1.7023297499999999</v>
      </c>
      <c r="BB15">
        <f t="shared" si="57"/>
        <v>0.57017024999999999</v>
      </c>
      <c r="BC15">
        <f t="shared" si="21"/>
        <v>0.14604073716079727</v>
      </c>
      <c r="BD15">
        <f t="shared" si="22"/>
        <v>5.7191172744713435E-2</v>
      </c>
      <c r="BE15">
        <v>1.2710999999999999</v>
      </c>
      <c r="BF15">
        <f t="shared" si="23"/>
        <v>0.90115858064455623</v>
      </c>
      <c r="BH15">
        <v>5.1536</v>
      </c>
      <c r="BI15">
        <v>0.24859999999999999</v>
      </c>
      <c r="BJ15">
        <f t="shared" si="24"/>
        <v>3.8724150400000004</v>
      </c>
      <c r="BK15">
        <f t="shared" si="25"/>
        <v>1.2811849599999998</v>
      </c>
      <c r="BL15">
        <f t="shared" si="26"/>
        <v>0.28006942055970019</v>
      </c>
      <c r="BM15">
        <f t="shared" si="27"/>
        <v>0.13559736085139415</v>
      </c>
      <c r="BN15">
        <v>1.6331</v>
      </c>
      <c r="BO15">
        <f t="shared" si="28"/>
        <v>0.73842403653496491</v>
      </c>
      <c r="BQ15">
        <v>2.7105000000000001</v>
      </c>
      <c r="BR15">
        <v>0.25090000000000001</v>
      </c>
      <c r="BS15">
        <f t="shared" si="29"/>
        <v>2.03043555</v>
      </c>
      <c r="BT15">
        <f t="shared" si="30"/>
        <v>0.68006445000000004</v>
      </c>
      <c r="BU15">
        <f t="shared" si="31"/>
        <v>0.17764377779343235</v>
      </c>
      <c r="BV15">
        <f t="shared" si="32"/>
        <v>7.6866630519811852E-2</v>
      </c>
      <c r="BW15">
        <v>1.2571000000000001</v>
      </c>
      <c r="BX15">
        <f t="shared" si="33"/>
        <v>0.88447062932543619</v>
      </c>
      <c r="BZ15">
        <v>1.903</v>
      </c>
      <c r="CA15">
        <v>1.7709999999999999</v>
      </c>
      <c r="CB15">
        <f t="shared" si="34"/>
        <v>6.4881670407108807E-2</v>
      </c>
      <c r="CC15">
        <f t="shared" si="35"/>
        <v>9.3790211926583517E-2</v>
      </c>
      <c r="CD15" s="2">
        <v>0.83599999999999997</v>
      </c>
      <c r="CF15">
        <v>1.0820000000000001</v>
      </c>
      <c r="CG15">
        <v>0.36770000000000003</v>
      </c>
      <c r="CH15">
        <f t="shared" si="36"/>
        <v>3.7952504330849214E-2</v>
      </c>
      <c r="CI15">
        <f t="shared" si="37"/>
        <v>7.1120729094505425E-2</v>
      </c>
      <c r="CJ15">
        <v>0.93899999999999995</v>
      </c>
      <c r="CR15">
        <v>1.4630000000000001</v>
      </c>
      <c r="CS15">
        <v>0.20960000000000001</v>
      </c>
      <c r="CT15">
        <f t="shared" si="40"/>
        <v>5.0639803266744644E-2</v>
      </c>
      <c r="CU15">
        <f t="shared" si="41"/>
        <v>6.5832390720848871E-2</v>
      </c>
      <c r="CV15">
        <v>0.92200000000000004</v>
      </c>
      <c r="CX15">
        <v>0.97619999999999996</v>
      </c>
      <c r="CY15">
        <v>0.51139999999999997</v>
      </c>
      <c r="CZ15">
        <f t="shared" si="42"/>
        <v>3.4368982513399489E-2</v>
      </c>
      <c r="DA15">
        <f t="shared" si="43"/>
        <v>6.7720117079138484E-2</v>
      </c>
      <c r="DB15">
        <v>0.94899999999999995</v>
      </c>
      <c r="DD15">
        <v>1.17</v>
      </c>
      <c r="DE15">
        <v>2.33</v>
      </c>
      <c r="DF15">
        <f t="shared" si="44"/>
        <v>4.7256987126669793E-2</v>
      </c>
      <c r="DG15">
        <f t="shared" si="45"/>
        <v>0.1479946136219473</v>
      </c>
      <c r="DH15">
        <v>0.877</v>
      </c>
      <c r="DJ15">
        <v>3.33</v>
      </c>
      <c r="DK15">
        <v>1.67</v>
      </c>
      <c r="DL15">
        <f t="shared" si="46"/>
        <v>0.12370792266708398</v>
      </c>
      <c r="DM15">
        <f t="shared" si="47"/>
        <v>0.21945809785685047</v>
      </c>
      <c r="DN15">
        <v>0.77900000000000003</v>
      </c>
      <c r="DP15">
        <v>3.33</v>
      </c>
      <c r="DQ15">
        <v>1.67</v>
      </c>
      <c r="DR15">
        <f t="shared" si="48"/>
        <v>0.16290335920185178</v>
      </c>
      <c r="DS15">
        <f t="shared" si="49"/>
        <v>0.21945809785685047</v>
      </c>
      <c r="DT15">
        <v>0.82099999999999995</v>
      </c>
      <c r="DV15">
        <v>0.55000000000000004</v>
      </c>
      <c r="DW15">
        <v>3.31</v>
      </c>
      <c r="DX15">
        <f t="shared" si="50"/>
        <v>4.9759803034211965E-2</v>
      </c>
      <c r="DY15">
        <f t="shared" si="51"/>
        <v>0.16208354295210034</v>
      </c>
      <c r="DZ15">
        <v>0.83199999999999996</v>
      </c>
      <c r="EB15" s="2">
        <v>1</v>
      </c>
      <c r="EC15" s="2">
        <v>2</v>
      </c>
      <c r="ED15">
        <f t="shared" si="52"/>
        <v>8.6933099588206816E-2</v>
      </c>
      <c r="EE15">
        <f t="shared" si="53"/>
        <v>0.18164260695931128</v>
      </c>
      <c r="EF15">
        <v>0.72699999999999998</v>
      </c>
      <c r="EH15">
        <v>0.6</v>
      </c>
      <c r="EI15">
        <v>1</v>
      </c>
      <c r="EJ15">
        <f t="shared" si="54"/>
        <v>3.1096004821266277E-2</v>
      </c>
      <c r="EK15">
        <f t="shared" si="55"/>
        <v>4.0669842689040801E-2</v>
      </c>
      <c r="EL15">
        <v>0.93</v>
      </c>
    </row>
    <row r="16" spans="1:142" ht="49" customHeight="1" x14ac:dyDescent="0.2">
      <c r="F16">
        <v>1.1059000000000001</v>
      </c>
      <c r="G16">
        <v>0.38890000000000002</v>
      </c>
      <c r="H16">
        <f t="shared" si="0"/>
        <v>0.67581549000000007</v>
      </c>
      <c r="I16">
        <f t="shared" si="1"/>
        <v>0.43008451000000009</v>
      </c>
      <c r="J16">
        <f t="shared" si="2"/>
        <v>3.7994093534478447E-2</v>
      </c>
      <c r="K16">
        <f t="shared" si="3"/>
        <v>1.7906513212878668E-2</v>
      </c>
      <c r="L16">
        <v>0.97609999999999997</v>
      </c>
      <c r="M16">
        <f t="shared" si="4"/>
        <v>0.96185383770630173</v>
      </c>
      <c r="O16">
        <v>3.3393999999999999</v>
      </c>
      <c r="P16">
        <v>0.60640000000000005</v>
      </c>
      <c r="Q16">
        <f t="shared" si="5"/>
        <v>1.3143878399999998</v>
      </c>
      <c r="R16">
        <f t="shared" si="6"/>
        <v>2.0250121600000002</v>
      </c>
      <c r="S16">
        <f t="shared" si="7"/>
        <v>0.10048969352778267</v>
      </c>
      <c r="T16">
        <f t="shared" si="8"/>
        <v>0.12251181849906148</v>
      </c>
      <c r="U16">
        <v>1.0394000000000001</v>
      </c>
      <c r="V16">
        <f t="shared" si="9"/>
        <v>0.88244611444954024</v>
      </c>
      <c r="X16">
        <v>2.4718</v>
      </c>
      <c r="Y16">
        <v>0.50009999999999999</v>
      </c>
      <c r="Z16">
        <f t="shared" si="10"/>
        <v>1.2356528200000001</v>
      </c>
      <c r="AA16">
        <f t="shared" si="11"/>
        <v>1.2361471799999999</v>
      </c>
      <c r="AB16">
        <f t="shared" si="12"/>
        <v>9.2036239956858043E-2</v>
      </c>
      <c r="AC16">
        <f t="shared" si="13"/>
        <v>7.5410440668524537E-2</v>
      </c>
      <c r="AD16">
        <v>1.1001000000000001</v>
      </c>
      <c r="AE16">
        <f t="shared" si="14"/>
        <v>0.90667382248643658</v>
      </c>
      <c r="AG16">
        <v>0.96</v>
      </c>
      <c r="AH16">
        <v>1.28</v>
      </c>
      <c r="AI16">
        <f t="shared" si="15"/>
        <v>3.9106667462030106E-2</v>
      </c>
      <c r="AJ16">
        <f t="shared" si="16"/>
        <v>0.21044386950721591</v>
      </c>
      <c r="AK16">
        <v>0.88770000000000004</v>
      </c>
      <c r="AM16">
        <v>1.71</v>
      </c>
      <c r="AN16">
        <v>2.29</v>
      </c>
      <c r="AO16">
        <f t="shared" si="17"/>
        <v>6.7593625301719709E-2</v>
      </c>
      <c r="AP16">
        <f t="shared" si="18"/>
        <v>0.17900430939817</v>
      </c>
      <c r="AQ16">
        <v>0.69399999999999995</v>
      </c>
      <c r="AS16">
        <v>2.57</v>
      </c>
      <c r="AT16">
        <v>3.43</v>
      </c>
      <c r="AU16">
        <f t="shared" si="19"/>
        <v>9.8248186590629505E-2</v>
      </c>
      <c r="AV16">
        <f t="shared" si="20"/>
        <v>0.27570945345469933</v>
      </c>
      <c r="AW16">
        <v>0.53400000000000003</v>
      </c>
      <c r="AY16">
        <v>2.2608999999999999</v>
      </c>
      <c r="AZ16">
        <v>0.49969999999999998</v>
      </c>
      <c r="BA16">
        <f t="shared" si="56"/>
        <v>1.1311282699999998</v>
      </c>
      <c r="BB16">
        <f t="shared" si="57"/>
        <v>1.1297717299999999</v>
      </c>
      <c r="BC16">
        <f t="shared" si="21"/>
        <v>0.10203822184345385</v>
      </c>
      <c r="BD16">
        <f t="shared" si="22"/>
        <v>0.10729941000921725</v>
      </c>
      <c r="BE16">
        <v>1.2776000000000001</v>
      </c>
      <c r="BF16">
        <f t="shared" si="23"/>
        <v>0.90116016867211934</v>
      </c>
      <c r="BH16">
        <v>5.7436999999999996</v>
      </c>
      <c r="BI16">
        <v>0.50049999999999994</v>
      </c>
      <c r="BJ16">
        <f t="shared" si="24"/>
        <v>2.8689781500000002</v>
      </c>
      <c r="BK16">
        <f t="shared" si="25"/>
        <v>2.8747218499999994</v>
      </c>
      <c r="BL16">
        <f t="shared" si="26"/>
        <v>0.22373359692163669</v>
      </c>
      <c r="BM16">
        <f t="shared" si="27"/>
        <v>0.26034460400840997</v>
      </c>
      <c r="BN16">
        <v>1.4653</v>
      </c>
      <c r="BO16">
        <f t="shared" si="28"/>
        <v>0.73842671168075369</v>
      </c>
      <c r="BQ16">
        <v>2.9121999999999999</v>
      </c>
      <c r="BR16">
        <v>0.49819999999999998</v>
      </c>
      <c r="BS16">
        <f t="shared" si="29"/>
        <v>1.4613419599999999</v>
      </c>
      <c r="BT16">
        <f t="shared" si="30"/>
        <v>1.45085804</v>
      </c>
      <c r="BU16">
        <f t="shared" si="31"/>
        <v>0.13455293429794044</v>
      </c>
      <c r="BV16">
        <f t="shared" si="32"/>
        <v>0.15084626631799547</v>
      </c>
      <c r="BW16">
        <v>1.17</v>
      </c>
      <c r="BX16">
        <f t="shared" si="33"/>
        <v>0.88447367422956524</v>
      </c>
      <c r="CF16">
        <v>1.631</v>
      </c>
      <c r="CG16">
        <v>0.18479999999999999</v>
      </c>
      <c r="CH16">
        <f t="shared" si="36"/>
        <v>5.6128507575125608E-2</v>
      </c>
      <c r="CI16">
        <f t="shared" si="37"/>
        <v>3.7054994320819976E-2</v>
      </c>
      <c r="CJ16">
        <v>0.93400000000000005</v>
      </c>
      <c r="CR16">
        <v>1.4630000000000001</v>
      </c>
      <c r="CS16">
        <v>1.161</v>
      </c>
      <c r="CT16">
        <f t="shared" si="40"/>
        <v>5.0639803266744644E-2</v>
      </c>
      <c r="CU16">
        <f t="shared" si="41"/>
        <v>0.28075737859137806</v>
      </c>
      <c r="CV16">
        <v>0.84499999999999997</v>
      </c>
      <c r="CX16">
        <v>0.97619999999999996</v>
      </c>
      <c r="CY16">
        <v>1.0229999999999999</v>
      </c>
      <c r="CZ16">
        <f t="shared" si="42"/>
        <v>3.4368982513399489E-2</v>
      </c>
      <c r="DA16">
        <f t="shared" si="43"/>
        <v>0.12687159875014115</v>
      </c>
      <c r="DB16">
        <v>0.93100000000000005</v>
      </c>
      <c r="DD16">
        <v>1.33</v>
      </c>
      <c r="DE16">
        <v>2.67</v>
      </c>
      <c r="DF16">
        <f t="shared" si="44"/>
        <v>5.3374548395762368E-2</v>
      </c>
      <c r="DG16">
        <f t="shared" si="45"/>
        <v>0.16600537843131447</v>
      </c>
      <c r="DH16">
        <v>0.85799999999999998</v>
      </c>
      <c r="DJ16">
        <v>4</v>
      </c>
      <c r="DK16">
        <v>2</v>
      </c>
      <c r="DL16">
        <f t="shared" si="46"/>
        <v>0.14498929526597673</v>
      </c>
      <c r="DM16">
        <f t="shared" si="47"/>
        <v>0.25190017355915972</v>
      </c>
      <c r="DN16">
        <v>0.72</v>
      </c>
      <c r="DP16">
        <v>4</v>
      </c>
      <c r="DQ16">
        <v>2</v>
      </c>
      <c r="DR16">
        <f t="shared" si="48"/>
        <v>0.1894695888989755</v>
      </c>
      <c r="DS16">
        <f t="shared" si="49"/>
        <v>0.25190017355915972</v>
      </c>
      <c r="DT16">
        <v>0.77700000000000002</v>
      </c>
      <c r="DV16">
        <v>0.59</v>
      </c>
      <c r="DW16">
        <v>3.62</v>
      </c>
      <c r="DX16">
        <f t="shared" si="50"/>
        <v>5.3186222458252372E-2</v>
      </c>
      <c r="DY16">
        <f t="shared" si="51"/>
        <v>0.17461294299348737</v>
      </c>
      <c r="DZ16">
        <v>0.8</v>
      </c>
      <c r="EB16" s="2">
        <v>1.5</v>
      </c>
      <c r="EC16" s="2">
        <v>3</v>
      </c>
      <c r="ED16">
        <f t="shared" si="52"/>
        <v>0.12496773318516119</v>
      </c>
      <c r="EE16">
        <f t="shared" si="53"/>
        <v>0.24977868471199005</v>
      </c>
      <c r="EF16">
        <v>0.67</v>
      </c>
      <c r="EH16">
        <v>1</v>
      </c>
      <c r="EI16">
        <v>1.5</v>
      </c>
      <c r="EJ16">
        <f t="shared" si="54"/>
        <v>5.0774093726565987E-2</v>
      </c>
      <c r="EK16">
        <f t="shared" si="55"/>
        <v>5.978896023001324E-2</v>
      </c>
      <c r="EL16">
        <v>0.88700000000000001</v>
      </c>
    </row>
    <row r="17" spans="6:142" ht="49" customHeight="1" x14ac:dyDescent="0.2">
      <c r="F17">
        <v>1.1249</v>
      </c>
      <c r="G17">
        <v>0.19539999999999999</v>
      </c>
      <c r="H17">
        <f t="shared" si="0"/>
        <v>0.90509454</v>
      </c>
      <c r="I17">
        <f t="shared" si="1"/>
        <v>0.21980545999999998</v>
      </c>
      <c r="J17">
        <f t="shared" si="2"/>
        <v>5.0236527833556505E-2</v>
      </c>
      <c r="K17">
        <f t="shared" si="3"/>
        <v>9.2324011626123172E-3</v>
      </c>
      <c r="L17">
        <v>0.95960000000000001</v>
      </c>
      <c r="M17">
        <f t="shared" si="4"/>
        <v>0.9618543558010143</v>
      </c>
      <c r="O17">
        <v>3.6036000000000001</v>
      </c>
      <c r="P17">
        <v>0.40560000000000002</v>
      </c>
      <c r="Q17">
        <f t="shared" si="5"/>
        <v>2.1419798400000003</v>
      </c>
      <c r="R17">
        <f t="shared" si="6"/>
        <v>1.4616201600000001</v>
      </c>
      <c r="S17">
        <f t="shared" si="7"/>
        <v>0.15401706016403691</v>
      </c>
      <c r="T17">
        <f t="shared" si="8"/>
        <v>9.1547372658008941E-2</v>
      </c>
      <c r="U17">
        <v>0.96319999999999995</v>
      </c>
      <c r="V17">
        <f t="shared" si="9"/>
        <v>0.88244563245064123</v>
      </c>
      <c r="X17">
        <v>2.4977999999999998</v>
      </c>
      <c r="Y17">
        <v>0.6694</v>
      </c>
      <c r="Z17">
        <f t="shared" si="10"/>
        <v>0.82577267999999993</v>
      </c>
      <c r="AA17">
        <f t="shared" si="11"/>
        <v>1.6720273199999998</v>
      </c>
      <c r="AB17">
        <f t="shared" si="12"/>
        <v>6.3443670672668012E-2</v>
      </c>
      <c r="AC17">
        <f t="shared" si="13"/>
        <v>9.9359037528492761E-2</v>
      </c>
      <c r="AD17">
        <v>1.0887</v>
      </c>
      <c r="AE17">
        <f t="shared" si="14"/>
        <v>0.90666965156777746</v>
      </c>
      <c r="AG17">
        <v>0.3</v>
      </c>
      <c r="AH17">
        <v>0.1</v>
      </c>
      <c r="AI17">
        <f t="shared" si="15"/>
        <v>1.2558478755491905E-2</v>
      </c>
      <c r="AJ17">
        <f t="shared" si="16"/>
        <v>2.0398247296544065E-2</v>
      </c>
      <c r="AK17">
        <v>0.97130000000000005</v>
      </c>
      <c r="AM17">
        <v>1.8</v>
      </c>
      <c r="AN17">
        <v>2.4</v>
      </c>
      <c r="AO17">
        <f t="shared" si="17"/>
        <v>7.0898957288481793E-2</v>
      </c>
      <c r="AP17">
        <f t="shared" si="18"/>
        <v>0.18600342659997537</v>
      </c>
      <c r="AQ17">
        <v>0.67100000000000004</v>
      </c>
      <c r="AS17">
        <v>3.43</v>
      </c>
      <c r="AT17">
        <v>4.57</v>
      </c>
      <c r="AU17">
        <f t="shared" si="19"/>
        <v>0.12695125739186361</v>
      </c>
      <c r="AV17">
        <f t="shared" si="20"/>
        <v>0.33650862611770099</v>
      </c>
      <c r="AW17">
        <v>0.373</v>
      </c>
      <c r="AY17">
        <v>2.2517999999999998</v>
      </c>
      <c r="AZ17">
        <v>0.74739999999999995</v>
      </c>
      <c r="BA17">
        <f t="shared" si="56"/>
        <v>0.56880468000000006</v>
      </c>
      <c r="BB17">
        <f t="shared" si="57"/>
        <v>1.6829953199999999</v>
      </c>
      <c r="BC17">
        <f t="shared" si="21"/>
        <v>5.4053392795140383E-2</v>
      </c>
      <c r="BD17">
        <f t="shared" si="22"/>
        <v>0.15186233329328605</v>
      </c>
      <c r="BE17">
        <v>1.2827999999999999</v>
      </c>
      <c r="BF17">
        <f t="shared" si="23"/>
        <v>0.90115746730610757</v>
      </c>
      <c r="BH17">
        <v>6.5179999999999998</v>
      </c>
      <c r="BI17">
        <v>0.74929999999999997</v>
      </c>
      <c r="BJ17">
        <f t="shared" si="24"/>
        <v>1.6340626000000003</v>
      </c>
      <c r="BK17">
        <f t="shared" si="25"/>
        <v>4.8839373999999998</v>
      </c>
      <c r="BL17">
        <f t="shared" si="26"/>
        <v>0.14101001654112005</v>
      </c>
      <c r="BM17">
        <f t="shared" si="27"/>
        <v>0.37421358017307699</v>
      </c>
      <c r="BN17">
        <v>1.2912999999999999</v>
      </c>
      <c r="BO17">
        <f t="shared" si="28"/>
        <v>0.73841474503476556</v>
      </c>
      <c r="BQ17">
        <v>3.1734</v>
      </c>
      <c r="BR17">
        <v>0.75619999999999998</v>
      </c>
      <c r="BS17">
        <f t="shared" si="29"/>
        <v>0.77367492000000004</v>
      </c>
      <c r="BT17">
        <f t="shared" si="30"/>
        <v>2.3997250800000001</v>
      </c>
      <c r="BU17">
        <f t="shared" si="31"/>
        <v>7.6051388043300777E-2</v>
      </c>
      <c r="BV17">
        <f t="shared" si="32"/>
        <v>0.22709635626542488</v>
      </c>
      <c r="BW17">
        <v>1.0737000000000001</v>
      </c>
      <c r="BX17">
        <f t="shared" si="33"/>
        <v>0.88447349641069994</v>
      </c>
      <c r="CF17">
        <v>1.907</v>
      </c>
      <c r="CG17">
        <v>9.2600000000000002E-2</v>
      </c>
      <c r="CH17">
        <f t="shared" si="36"/>
        <v>6.5009182264323742E-2</v>
      </c>
      <c r="CI17">
        <f t="shared" si="37"/>
        <v>1.8917332147630833E-2</v>
      </c>
      <c r="CJ17">
        <v>0.93</v>
      </c>
      <c r="CR17">
        <v>1.4630000000000001</v>
      </c>
      <c r="CS17">
        <v>1.8089999999999999</v>
      </c>
      <c r="CT17">
        <f t="shared" si="40"/>
        <v>5.0639803266744644E-2</v>
      </c>
      <c r="CU17">
        <f t="shared" si="41"/>
        <v>0.37819529117491602</v>
      </c>
      <c r="CV17">
        <v>0.77700000000000002</v>
      </c>
      <c r="CX17">
        <v>0.97619999999999996</v>
      </c>
      <c r="CY17">
        <v>1.534</v>
      </c>
      <c r="CZ17">
        <f t="shared" si="42"/>
        <v>3.4368982513399489E-2</v>
      </c>
      <c r="DA17">
        <f t="shared" si="43"/>
        <v>0.17890735164974264</v>
      </c>
      <c r="DB17">
        <v>0.91400000000000003</v>
      </c>
      <c r="DD17">
        <v>1.5</v>
      </c>
      <c r="DE17">
        <v>3</v>
      </c>
      <c r="DF17">
        <f t="shared" si="44"/>
        <v>5.978896023001324E-2</v>
      </c>
      <c r="DG17">
        <f t="shared" si="45"/>
        <v>0.18277285171413393</v>
      </c>
      <c r="DH17">
        <v>0.83599999999999997</v>
      </c>
      <c r="DJ17">
        <v>4.67</v>
      </c>
      <c r="DK17">
        <v>2.33</v>
      </c>
      <c r="DL17">
        <f t="shared" si="46"/>
        <v>0.16526150962890049</v>
      </c>
      <c r="DM17">
        <f t="shared" si="47"/>
        <v>0.28175305118486327</v>
      </c>
      <c r="DN17">
        <v>0.66700000000000004</v>
      </c>
      <c r="DP17">
        <v>4.67</v>
      </c>
      <c r="DQ17">
        <v>2.33</v>
      </c>
      <c r="DR17">
        <f t="shared" si="48"/>
        <v>0.21440146661818998</v>
      </c>
      <c r="DS17">
        <f t="shared" si="49"/>
        <v>0.28175305118486327</v>
      </c>
      <c r="DT17">
        <v>0.74199999999999999</v>
      </c>
      <c r="DV17">
        <v>0.1</v>
      </c>
      <c r="DW17">
        <v>0.3</v>
      </c>
      <c r="DX17">
        <f t="shared" si="50"/>
        <v>9.4312054925058536E-3</v>
      </c>
      <c r="DY17">
        <f t="shared" si="51"/>
        <v>1.7229924955677066E-2</v>
      </c>
      <c r="DZ17">
        <v>0.98540000000000005</v>
      </c>
      <c r="EB17" s="2">
        <v>1.33</v>
      </c>
      <c r="EC17" s="2">
        <v>2.67</v>
      </c>
      <c r="ED17">
        <f t="shared" si="52"/>
        <v>0.11239659753212525</v>
      </c>
      <c r="EE17">
        <f t="shared" si="53"/>
        <v>0.22858351115769099</v>
      </c>
      <c r="EF17">
        <v>0.60299999999999998</v>
      </c>
      <c r="EH17">
        <v>2</v>
      </c>
      <c r="EI17">
        <v>2</v>
      </c>
      <c r="EJ17">
        <f t="shared" si="54"/>
        <v>9.6641312399501342E-2</v>
      </c>
      <c r="EK17">
        <f t="shared" si="55"/>
        <v>7.8160894110185578E-2</v>
      </c>
      <c r="EL17">
        <v>0.84199999999999997</v>
      </c>
    </row>
    <row r="18" spans="6:142" ht="49" customHeight="1" x14ac:dyDescent="0.2">
      <c r="F18">
        <v>1.9632000000000001</v>
      </c>
      <c r="G18">
        <v>0.80320000000000003</v>
      </c>
      <c r="H18">
        <f t="shared" si="0"/>
        <v>0.38635775999999994</v>
      </c>
      <c r="I18">
        <f t="shared" si="1"/>
        <v>1.5768422400000002</v>
      </c>
      <c r="J18">
        <f t="shared" si="2"/>
        <v>2.2080204140487135E-2</v>
      </c>
      <c r="K18">
        <f t="shared" si="3"/>
        <v>6.2659918937341672E-2</v>
      </c>
      <c r="L18">
        <v>1.1089</v>
      </c>
      <c r="M18">
        <f t="shared" si="4"/>
        <v>0.92456118665183473</v>
      </c>
      <c r="O18">
        <v>3.9409000000000001</v>
      </c>
      <c r="P18">
        <v>0.20399999999999999</v>
      </c>
      <c r="Q18">
        <f t="shared" si="5"/>
        <v>3.1369564000000003</v>
      </c>
      <c r="R18">
        <f t="shared" si="6"/>
        <v>0.80394359999999998</v>
      </c>
      <c r="S18">
        <f t="shared" si="7"/>
        <v>0.21050013854892619</v>
      </c>
      <c r="T18">
        <f t="shared" si="8"/>
        <v>5.2517707434700835E-2</v>
      </c>
      <c r="U18">
        <v>0.88080000000000003</v>
      </c>
      <c r="V18">
        <f t="shared" si="9"/>
        <v>0.88244063443008369</v>
      </c>
      <c r="X18">
        <v>3.1629999999999998</v>
      </c>
      <c r="Y18">
        <v>0.34089999999999998</v>
      </c>
      <c r="Z18">
        <f t="shared" si="10"/>
        <v>2.0847332999999999</v>
      </c>
      <c r="AA18">
        <f t="shared" si="11"/>
        <v>1.0782666999999999</v>
      </c>
      <c r="AB18">
        <f t="shared" si="12"/>
        <v>0.14604289925953728</v>
      </c>
      <c r="AC18">
        <f t="shared" si="13"/>
        <v>6.641873960681921E-2</v>
      </c>
      <c r="AD18">
        <v>1.1609</v>
      </c>
      <c r="AE18">
        <f t="shared" si="14"/>
        <v>0.87608001978309391</v>
      </c>
      <c r="AG18">
        <v>0.6</v>
      </c>
      <c r="AH18">
        <v>0.2</v>
      </c>
      <c r="AI18">
        <f t="shared" si="15"/>
        <v>2.4805438933121548E-2</v>
      </c>
      <c r="AJ18">
        <f t="shared" si="16"/>
        <v>3.9980953222111926E-2</v>
      </c>
      <c r="AK18">
        <v>0.93989999999999996</v>
      </c>
      <c r="AM18" s="2">
        <v>0.45</v>
      </c>
      <c r="AN18">
        <v>0.15</v>
      </c>
      <c r="AO18">
        <f t="shared" si="17"/>
        <v>1.8720169706458973E-2</v>
      </c>
      <c r="AP18">
        <f t="shared" si="18"/>
        <v>1.4080556421384532E-2</v>
      </c>
      <c r="AQ18">
        <v>0.97699999999999998</v>
      </c>
      <c r="AS18">
        <v>4.29</v>
      </c>
      <c r="AT18">
        <v>5.71</v>
      </c>
      <c r="AU18">
        <f t="shared" si="19"/>
        <v>0.15388343894870493</v>
      </c>
      <c r="AV18">
        <f t="shared" si="20"/>
        <v>0.3878909402839868</v>
      </c>
      <c r="AW18">
        <v>0.249</v>
      </c>
      <c r="AY18">
        <v>1.6834</v>
      </c>
      <c r="AZ18">
        <v>0.25090000000000001</v>
      </c>
      <c r="BA18">
        <f t="shared" si="56"/>
        <v>1.26103494</v>
      </c>
      <c r="BB18">
        <f t="shared" si="57"/>
        <v>0.42236506000000001</v>
      </c>
      <c r="BC18">
        <f t="shared" si="21"/>
        <v>0.11243935159563868</v>
      </c>
      <c r="BD18">
        <f t="shared" si="22"/>
        <v>4.3003058301792157E-2</v>
      </c>
      <c r="BE18">
        <v>1.1657</v>
      </c>
      <c r="BF18">
        <f t="shared" si="23"/>
        <v>0.93173932886263844</v>
      </c>
      <c r="BH18">
        <v>3.8176000000000001</v>
      </c>
      <c r="BI18">
        <v>0.24859999999999999</v>
      </c>
      <c r="BJ18">
        <f t="shared" si="24"/>
        <v>2.8685446400000005</v>
      </c>
      <c r="BK18">
        <f t="shared" si="25"/>
        <v>0.94905536000000001</v>
      </c>
      <c r="BL18">
        <f t="shared" si="26"/>
        <v>0.2237073530106142</v>
      </c>
      <c r="BM18">
        <f t="shared" si="27"/>
        <v>0.10410508408146439</v>
      </c>
      <c r="BN18">
        <v>1.4169</v>
      </c>
      <c r="BO18">
        <f t="shared" si="28"/>
        <v>0.82292560506282064</v>
      </c>
      <c r="BQ18">
        <v>2.0278999999999998</v>
      </c>
      <c r="BR18">
        <v>0.25090000000000001</v>
      </c>
      <c r="BS18">
        <f t="shared" si="29"/>
        <v>1.5190998899999999</v>
      </c>
      <c r="BT18">
        <f t="shared" si="30"/>
        <v>0.50880011000000003</v>
      </c>
      <c r="BU18">
        <f t="shared" si="31"/>
        <v>0.13913108374611774</v>
      </c>
      <c r="BV18">
        <f t="shared" si="32"/>
        <v>5.8644105178250611E-2</v>
      </c>
      <c r="BW18">
        <v>1.1652</v>
      </c>
      <c r="BX18">
        <f t="shared" si="33"/>
        <v>0.91838871864236715</v>
      </c>
      <c r="CX18">
        <v>0.97619999999999996</v>
      </c>
      <c r="CY18">
        <v>1.841</v>
      </c>
      <c r="CZ18">
        <f t="shared" si="42"/>
        <v>3.4368982513399489E-2</v>
      </c>
      <c r="DA18">
        <f t="shared" si="43"/>
        <v>0.20729016550544715</v>
      </c>
      <c r="DB18">
        <v>0.90300000000000002</v>
      </c>
      <c r="DD18">
        <v>1.67</v>
      </c>
      <c r="DE18">
        <v>3.33</v>
      </c>
      <c r="DF18">
        <f t="shared" si="44"/>
        <v>6.6117027975715822E-2</v>
      </c>
      <c r="DG18">
        <f t="shared" si="45"/>
        <v>0.1988793924942209</v>
      </c>
      <c r="DH18">
        <v>0.81699999999999995</v>
      </c>
      <c r="DJ18">
        <v>5.33</v>
      </c>
      <c r="DK18">
        <v>2.67</v>
      </c>
      <c r="DL18">
        <f t="shared" si="46"/>
        <v>0.18431271518952144</v>
      </c>
      <c r="DM18">
        <f t="shared" si="47"/>
        <v>0.31011702346954295</v>
      </c>
      <c r="DN18">
        <v>0.61099999999999999</v>
      </c>
      <c r="DP18">
        <v>5.33</v>
      </c>
      <c r="DQ18">
        <v>2.67</v>
      </c>
      <c r="DR18">
        <f t="shared" si="48"/>
        <v>0.2375056920200091</v>
      </c>
      <c r="DS18">
        <f t="shared" si="49"/>
        <v>0.31011702346954295</v>
      </c>
      <c r="DT18">
        <v>0.70199999999999996</v>
      </c>
      <c r="DV18">
        <v>0.2</v>
      </c>
      <c r="DW18">
        <v>0.6</v>
      </c>
      <c r="DX18">
        <f t="shared" si="50"/>
        <v>1.8686177802288817E-2</v>
      </c>
      <c r="DY18">
        <f t="shared" si="51"/>
        <v>3.3876166111467501E-2</v>
      </c>
      <c r="DZ18">
        <v>0.97</v>
      </c>
      <c r="EB18" s="2">
        <v>0.1</v>
      </c>
      <c r="EC18" s="2">
        <v>0.1</v>
      </c>
      <c r="ED18">
        <f t="shared" si="52"/>
        <v>9.4312054925058536E-3</v>
      </c>
      <c r="EE18">
        <f t="shared" si="53"/>
        <v>1.0976186284613363E-2</v>
      </c>
      <c r="EF18" s="2">
        <v>0.99</v>
      </c>
      <c r="EH18">
        <v>3</v>
      </c>
      <c r="EI18">
        <v>2.5</v>
      </c>
      <c r="EJ18">
        <f t="shared" si="54"/>
        <v>0.13828017958241057</v>
      </c>
      <c r="EK18">
        <f t="shared" si="55"/>
        <v>9.5828605270415063E-2</v>
      </c>
      <c r="EL18">
        <v>0.79200000000000004</v>
      </c>
    </row>
    <row r="19" spans="6:142" ht="49" customHeight="1" x14ac:dyDescent="0.2">
      <c r="F19">
        <v>2.0076000000000001</v>
      </c>
      <c r="G19">
        <v>0.60940000000000005</v>
      </c>
      <c r="H19">
        <f t="shared" si="0"/>
        <v>0.7841685599999999</v>
      </c>
      <c r="I19">
        <f t="shared" si="1"/>
        <v>1.2234314400000001</v>
      </c>
      <c r="J19">
        <f t="shared" si="2"/>
        <v>4.3818737653202412E-2</v>
      </c>
      <c r="K19">
        <f t="shared" si="3"/>
        <v>4.9308699919374435E-2</v>
      </c>
      <c r="L19">
        <v>1.0845</v>
      </c>
      <c r="M19">
        <f t="shared" si="4"/>
        <v>0.92455286813694082</v>
      </c>
      <c r="O19">
        <v>3.3027000000000002</v>
      </c>
      <c r="P19">
        <v>0.80400000000000005</v>
      </c>
      <c r="Q19">
        <f t="shared" si="5"/>
        <v>0.64732919999999983</v>
      </c>
      <c r="R19">
        <f t="shared" si="6"/>
        <v>2.6553708000000005</v>
      </c>
      <c r="S19">
        <f t="shared" si="7"/>
        <v>5.2150266878934995E-2</v>
      </c>
      <c r="T19">
        <f t="shared" si="8"/>
        <v>0.15474661832987222</v>
      </c>
      <c r="U19">
        <v>1.1232</v>
      </c>
      <c r="V19">
        <f t="shared" si="9"/>
        <v>0.874891909649536</v>
      </c>
      <c r="X19">
        <v>3.1974999999999998</v>
      </c>
      <c r="Y19">
        <v>0.50009999999999999</v>
      </c>
      <c r="Z19">
        <f t="shared" si="10"/>
        <v>1.5984302499999998</v>
      </c>
      <c r="AA19">
        <f t="shared" si="11"/>
        <v>1.59906975</v>
      </c>
      <c r="AB19">
        <f t="shared" si="12"/>
        <v>0.11592490169405707</v>
      </c>
      <c r="AC19">
        <f t="shared" si="13"/>
        <v>9.5437349714020153E-2</v>
      </c>
      <c r="AD19">
        <v>1.1484000000000001</v>
      </c>
      <c r="AE19">
        <f t="shared" si="14"/>
        <v>0.8760774220068831</v>
      </c>
      <c r="AG19">
        <v>0.9</v>
      </c>
      <c r="AH19">
        <v>0.3</v>
      </c>
      <c r="AI19">
        <f t="shared" si="15"/>
        <v>3.6752329566328568E-2</v>
      </c>
      <c r="AJ19">
        <f t="shared" si="16"/>
        <v>5.8796068402936927E-2</v>
      </c>
      <c r="AK19">
        <v>0.90529999999999999</v>
      </c>
      <c r="AM19" s="2">
        <v>0.9</v>
      </c>
      <c r="AN19">
        <v>0.3</v>
      </c>
      <c r="AO19">
        <f t="shared" si="17"/>
        <v>3.6752329566328568E-2</v>
      </c>
      <c r="AP19">
        <f t="shared" si="18"/>
        <v>2.7770094460885391E-2</v>
      </c>
      <c r="AQ19">
        <v>0.94899999999999995</v>
      </c>
      <c r="AS19">
        <v>0.15</v>
      </c>
      <c r="AT19">
        <v>0.05</v>
      </c>
      <c r="AU19">
        <f t="shared" si="19"/>
        <v>6.3189173725363042E-3</v>
      </c>
      <c r="AV19">
        <f t="shared" si="20"/>
        <v>5.5183785176058063E-3</v>
      </c>
      <c r="AW19" s="2">
        <v>0.99299999999999999</v>
      </c>
      <c r="AY19">
        <v>1.6728000000000001</v>
      </c>
      <c r="AZ19">
        <v>0.49969999999999998</v>
      </c>
      <c r="BA19">
        <f t="shared" si="56"/>
        <v>0.83690184000000001</v>
      </c>
      <c r="BB19">
        <f t="shared" si="57"/>
        <v>0.83589815999999995</v>
      </c>
      <c r="BC19">
        <f t="shared" si="21"/>
        <v>7.7554732400534968E-2</v>
      </c>
      <c r="BD19">
        <f t="shared" si="22"/>
        <v>8.1668341226940569E-2</v>
      </c>
      <c r="BE19">
        <v>1.1731</v>
      </c>
      <c r="BF19">
        <f t="shared" si="23"/>
        <v>0.93173858024874234</v>
      </c>
      <c r="BH19">
        <v>4.1681999999999997</v>
      </c>
      <c r="BI19">
        <v>0.50049999999999994</v>
      </c>
      <c r="BJ19">
        <f t="shared" si="24"/>
        <v>2.0820159</v>
      </c>
      <c r="BK19">
        <f t="shared" si="25"/>
        <v>2.0861840999999997</v>
      </c>
      <c r="BL19">
        <f t="shared" si="26"/>
        <v>0.17297912220419545</v>
      </c>
      <c r="BM19">
        <f t="shared" si="27"/>
        <v>0.20346167983896679</v>
      </c>
      <c r="BN19">
        <v>1.2978000000000001</v>
      </c>
      <c r="BO19">
        <f t="shared" si="28"/>
        <v>0.82291574602542095</v>
      </c>
      <c r="BQ19">
        <v>2.1534</v>
      </c>
      <c r="BR19">
        <v>0.49819999999999998</v>
      </c>
      <c r="BS19">
        <f t="shared" si="29"/>
        <v>1.0805761200000001</v>
      </c>
      <c r="BT19">
        <f t="shared" si="30"/>
        <v>1.0728238799999998</v>
      </c>
      <c r="BU19">
        <f t="shared" si="31"/>
        <v>0.10310884364865834</v>
      </c>
      <c r="BV19">
        <f t="shared" si="32"/>
        <v>0.11610535616378993</v>
      </c>
      <c r="BW19">
        <v>1.0972999999999999</v>
      </c>
      <c r="BX19">
        <f t="shared" si="33"/>
        <v>0.91838816473054885</v>
      </c>
      <c r="DD19">
        <v>1.83</v>
      </c>
      <c r="DE19">
        <v>3.67</v>
      </c>
      <c r="DF19">
        <f t="shared" si="44"/>
        <v>7.1995533106178872E-2</v>
      </c>
      <c r="DG19">
        <f t="shared" si="45"/>
        <v>0.21482319585018356</v>
      </c>
      <c r="DH19">
        <v>0.79600000000000004</v>
      </c>
      <c r="DJ19">
        <v>6</v>
      </c>
      <c r="DK19">
        <v>3</v>
      </c>
      <c r="DL19">
        <f t="shared" si="46"/>
        <v>0.20278324314154425</v>
      </c>
      <c r="DM19">
        <f t="shared" si="47"/>
        <v>0.3355834905785739</v>
      </c>
      <c r="DN19">
        <v>0.55600000000000005</v>
      </c>
      <c r="DP19">
        <v>0.2</v>
      </c>
      <c r="DQ19">
        <v>0.2</v>
      </c>
      <c r="DR19">
        <f t="shared" si="48"/>
        <v>1.1552968899502615E-2</v>
      </c>
      <c r="DS19">
        <f t="shared" si="49"/>
        <v>3.2575130215387472E-2</v>
      </c>
      <c r="DT19">
        <v>0.98699999999999999</v>
      </c>
      <c r="DV19">
        <v>0.3</v>
      </c>
      <c r="DW19">
        <v>0.9</v>
      </c>
      <c r="DX19">
        <f t="shared" si="50"/>
        <v>2.7769810891505913E-2</v>
      </c>
      <c r="DY19">
        <f t="shared" si="51"/>
        <v>4.9967888914645306E-2</v>
      </c>
      <c r="DZ19">
        <v>0.95340000000000003</v>
      </c>
      <c r="EB19" s="2">
        <v>0.2</v>
      </c>
      <c r="EC19" s="2">
        <v>0.2</v>
      </c>
      <c r="ED19">
        <f t="shared" si="52"/>
        <v>1.8686177802288817E-2</v>
      </c>
      <c r="EE19">
        <f t="shared" si="53"/>
        <v>2.1714035273078747E-2</v>
      </c>
      <c r="EF19" s="2">
        <v>0.98</v>
      </c>
      <c r="EH19">
        <v>4</v>
      </c>
      <c r="EI19">
        <v>3</v>
      </c>
      <c r="EJ19">
        <f t="shared" si="54"/>
        <v>0.17624962931233321</v>
      </c>
      <c r="EK19">
        <f t="shared" si="55"/>
        <v>0.11283182307737351</v>
      </c>
      <c r="EL19">
        <v>0.745</v>
      </c>
    </row>
    <row r="20" spans="6:142" ht="49" customHeight="1" x14ac:dyDescent="0.2">
      <c r="F20">
        <v>2.0611999999999999</v>
      </c>
      <c r="G20">
        <v>0.40150000000000002</v>
      </c>
      <c r="H20">
        <f t="shared" si="0"/>
        <v>1.2336282000000001</v>
      </c>
      <c r="I20">
        <f t="shared" si="1"/>
        <v>0.82757179999999997</v>
      </c>
      <c r="J20">
        <f t="shared" si="2"/>
        <v>6.7245300926833965E-2</v>
      </c>
      <c r="K20">
        <f t="shared" si="3"/>
        <v>3.3894907287966854E-2</v>
      </c>
      <c r="L20">
        <v>1.0562</v>
      </c>
      <c r="M20">
        <f t="shared" si="4"/>
        <v>0.92455962234426514</v>
      </c>
      <c r="O20">
        <v>3.5436999999999999</v>
      </c>
      <c r="P20">
        <v>0.60640000000000005</v>
      </c>
      <c r="Q20">
        <f t="shared" si="5"/>
        <v>1.3948003199999999</v>
      </c>
      <c r="R20">
        <f t="shared" si="6"/>
        <v>2.14889968</v>
      </c>
      <c r="S20">
        <f t="shared" si="7"/>
        <v>0.10598593490040828</v>
      </c>
      <c r="T20">
        <f t="shared" si="8"/>
        <v>0.12903975978853638</v>
      </c>
      <c r="U20">
        <v>1.0468999999999999</v>
      </c>
      <c r="V20">
        <f t="shared" si="9"/>
        <v>0.87488223592971026</v>
      </c>
      <c r="X20">
        <v>3.2332000000000001</v>
      </c>
      <c r="Y20">
        <v>0.6694</v>
      </c>
      <c r="Z20">
        <f t="shared" si="10"/>
        <v>1.0688959200000001</v>
      </c>
      <c r="AA20">
        <f t="shared" si="11"/>
        <v>2.16430408</v>
      </c>
      <c r="AB20">
        <f t="shared" si="12"/>
        <v>8.061685393364855E-2</v>
      </c>
      <c r="AC20">
        <f t="shared" si="13"/>
        <v>0.12495684750822279</v>
      </c>
      <c r="AD20">
        <v>1.1355999999999999</v>
      </c>
      <c r="AE20">
        <f t="shared" si="14"/>
        <v>0.87608964014463142</v>
      </c>
      <c r="AG20">
        <v>1.2</v>
      </c>
      <c r="AH20">
        <v>0.4</v>
      </c>
      <c r="AI20">
        <f t="shared" si="15"/>
        <v>4.8410045440323513E-2</v>
      </c>
      <c r="AJ20">
        <f t="shared" si="16"/>
        <v>7.6887856644376598E-2</v>
      </c>
      <c r="AK20">
        <v>0.86880000000000002</v>
      </c>
      <c r="AM20" s="2">
        <v>1.35</v>
      </c>
      <c r="AN20">
        <v>0.45</v>
      </c>
      <c r="AO20">
        <f t="shared" si="17"/>
        <v>5.4133724114832325E-2</v>
      </c>
      <c r="AP20">
        <f t="shared" si="18"/>
        <v>4.1084678983198793E-2</v>
      </c>
      <c r="AQ20">
        <v>0.91800000000000004</v>
      </c>
      <c r="AS20">
        <v>0.23</v>
      </c>
      <c r="AT20">
        <v>7.0000000000000007E-2</v>
      </c>
      <c r="AU20">
        <f t="shared" si="19"/>
        <v>9.6564634939268496E-3</v>
      </c>
      <c r="AV20">
        <f t="shared" si="20"/>
        <v>7.7087140837688358E-3</v>
      </c>
      <c r="AW20" s="2">
        <v>0.98899999999999999</v>
      </c>
      <c r="AY20">
        <v>1.6637</v>
      </c>
      <c r="AZ20">
        <v>0.74739999999999995</v>
      </c>
      <c r="BA20">
        <f t="shared" si="56"/>
        <v>0.42025062000000007</v>
      </c>
      <c r="BB20">
        <f t="shared" si="57"/>
        <v>1.2434493799999999</v>
      </c>
      <c r="BC20">
        <f t="shared" si="21"/>
        <v>4.050818734857816E-2</v>
      </c>
      <c r="BD20">
        <f t="shared" si="22"/>
        <v>0.11683447864783453</v>
      </c>
      <c r="BE20">
        <v>1.1795</v>
      </c>
      <c r="BF20">
        <f t="shared" si="23"/>
        <v>0.93173950443450471</v>
      </c>
      <c r="BH20">
        <v>4.6143999999999998</v>
      </c>
      <c r="BI20">
        <v>0.74929999999999997</v>
      </c>
      <c r="BJ20">
        <f t="shared" si="24"/>
        <v>1.1568300800000002</v>
      </c>
      <c r="BK20">
        <f t="shared" si="25"/>
        <v>3.4575699199999996</v>
      </c>
      <c r="BL20">
        <f t="shared" si="26"/>
        <v>0.10411536687509718</v>
      </c>
      <c r="BM20">
        <f t="shared" si="27"/>
        <v>0.29742957775246592</v>
      </c>
      <c r="BN20">
        <v>1.1722999999999999</v>
      </c>
      <c r="BO20">
        <f t="shared" si="28"/>
        <v>0.82291660111107923</v>
      </c>
      <c r="BQ20">
        <v>2.3121999999999998</v>
      </c>
      <c r="BR20">
        <v>0.75619999999999998</v>
      </c>
      <c r="BS20">
        <f t="shared" si="29"/>
        <v>0.56371435999999997</v>
      </c>
      <c r="BT20">
        <f t="shared" si="30"/>
        <v>1.7484856399999997</v>
      </c>
      <c r="BU20">
        <f t="shared" si="31"/>
        <v>5.6580251069256723E-2</v>
      </c>
      <c r="BV20">
        <f t="shared" si="32"/>
        <v>0.17633415742004541</v>
      </c>
      <c r="BW20">
        <v>1.0219</v>
      </c>
      <c r="BX20">
        <f t="shared" si="33"/>
        <v>0.91839109775367678</v>
      </c>
      <c r="DD20">
        <v>2</v>
      </c>
      <c r="DE20">
        <v>4</v>
      </c>
      <c r="DF20">
        <f t="shared" si="44"/>
        <v>7.8160894110185578E-2</v>
      </c>
      <c r="DG20">
        <f t="shared" si="45"/>
        <v>0.22970266522877827</v>
      </c>
      <c r="DH20">
        <v>0.77400000000000002</v>
      </c>
      <c r="DJ20">
        <v>0.2</v>
      </c>
      <c r="DK20">
        <v>0.2</v>
      </c>
      <c r="DL20">
        <f t="shared" si="46"/>
        <v>8.4075143671835245E-3</v>
      </c>
      <c r="DM20">
        <f t="shared" si="47"/>
        <v>3.2575130215387472E-2</v>
      </c>
      <c r="DN20">
        <v>0.98699999999999999</v>
      </c>
      <c r="DP20">
        <v>0.3</v>
      </c>
      <c r="DQ20">
        <v>0.3</v>
      </c>
      <c r="DR20">
        <f t="shared" si="48"/>
        <v>1.7229924955677066E-2</v>
      </c>
      <c r="DS20">
        <f t="shared" si="49"/>
        <v>4.8079595776519553E-2</v>
      </c>
      <c r="DT20">
        <v>0.98099999999999998</v>
      </c>
      <c r="DV20">
        <v>0.4</v>
      </c>
      <c r="DW20">
        <v>1.2</v>
      </c>
      <c r="DX20">
        <f t="shared" si="50"/>
        <v>3.6686819178409456E-2</v>
      </c>
      <c r="DY20">
        <f t="shared" si="51"/>
        <v>6.5532347532257826E-2</v>
      </c>
      <c r="DZ20">
        <v>0.93540000000000001</v>
      </c>
      <c r="EB20" s="2">
        <v>0.4</v>
      </c>
      <c r="EC20" s="2">
        <v>0.4</v>
      </c>
      <c r="ED20">
        <f t="shared" si="52"/>
        <v>3.6686819178409456E-2</v>
      </c>
      <c r="EE20">
        <f t="shared" si="53"/>
        <v>4.2505113022696467E-2</v>
      </c>
      <c r="EF20" s="2">
        <v>0.95699999999999996</v>
      </c>
      <c r="EH20" s="2">
        <v>0.2</v>
      </c>
      <c r="EI20" s="2">
        <v>0.1</v>
      </c>
      <c r="EJ20">
        <f t="shared" si="54"/>
        <v>1.0584764192666849E-2</v>
      </c>
      <c r="EK20">
        <f t="shared" si="55"/>
        <v>4.2215033586612914E-3</v>
      </c>
      <c r="EL20">
        <v>0.9899</v>
      </c>
    </row>
    <row r="21" spans="6:142" ht="49" customHeight="1" x14ac:dyDescent="0.2">
      <c r="F21">
        <v>2.1158999999999999</v>
      </c>
      <c r="G21">
        <v>0.216</v>
      </c>
      <c r="H21">
        <f t="shared" si="0"/>
        <v>1.6588655999999999</v>
      </c>
      <c r="I21">
        <f t="shared" si="1"/>
        <v>0.45703439999999995</v>
      </c>
      <c r="J21">
        <f t="shared" si="2"/>
        <v>8.8376522708345284E-2</v>
      </c>
      <c r="K21">
        <f t="shared" si="3"/>
        <v>1.9007241240115325E-2</v>
      </c>
      <c r="L21">
        <v>1.0288999999999999</v>
      </c>
      <c r="M21">
        <f t="shared" si="4"/>
        <v>0.92455928689790556</v>
      </c>
      <c r="O21">
        <v>3.8317999999999999</v>
      </c>
      <c r="P21">
        <v>0.40560000000000002</v>
      </c>
      <c r="Q21">
        <f t="shared" si="5"/>
        <v>2.2776219200000001</v>
      </c>
      <c r="R21">
        <f t="shared" si="6"/>
        <v>1.55417808</v>
      </c>
      <c r="S21">
        <f t="shared" si="7"/>
        <v>0.16218841840540396</v>
      </c>
      <c r="T21">
        <f t="shared" si="8"/>
        <v>9.6783579228676878E-2</v>
      </c>
      <c r="U21">
        <v>0.96809999999999996</v>
      </c>
      <c r="V21">
        <f t="shared" si="9"/>
        <v>0.87489276263410154</v>
      </c>
      <c r="X21">
        <v>3.3807</v>
      </c>
      <c r="Y21">
        <v>0.53390000000000004</v>
      </c>
      <c r="Z21">
        <f t="shared" si="10"/>
        <v>1.5757442699999999</v>
      </c>
      <c r="AA21">
        <f t="shared" si="11"/>
        <v>1.8049557300000001</v>
      </c>
      <c r="AB21">
        <f t="shared" si="12"/>
        <v>0.11446795093185548</v>
      </c>
      <c r="AC21">
        <f t="shared" si="13"/>
        <v>0.10641760258389173</v>
      </c>
      <c r="AD21">
        <v>1.1572</v>
      </c>
      <c r="AE21">
        <f t="shared" si="14"/>
        <v>0.86853027168962338</v>
      </c>
      <c r="AG21">
        <v>1.5</v>
      </c>
      <c r="AH21">
        <v>0.5</v>
      </c>
      <c r="AI21">
        <f t="shared" si="15"/>
        <v>5.978896023001324E-2</v>
      </c>
      <c r="AJ21">
        <f t="shared" si="16"/>
        <v>9.4297242587955063E-2</v>
      </c>
      <c r="AK21">
        <v>0.83020000000000005</v>
      </c>
      <c r="AM21" s="2">
        <v>1.8</v>
      </c>
      <c r="AN21">
        <v>0.6</v>
      </c>
      <c r="AO21">
        <f t="shared" si="17"/>
        <v>7.0898957288481793E-2</v>
      </c>
      <c r="AP21">
        <f t="shared" si="18"/>
        <v>5.4039506715657333E-2</v>
      </c>
      <c r="AQ21">
        <v>0.879</v>
      </c>
      <c r="AS21">
        <v>0.38</v>
      </c>
      <c r="AT21">
        <v>0.12</v>
      </c>
      <c r="AU21">
        <f t="shared" si="19"/>
        <v>1.585431148124437E-2</v>
      </c>
      <c r="AV21">
        <f t="shared" si="20"/>
        <v>1.3142572476783194E-2</v>
      </c>
      <c r="AW21" s="2">
        <v>0.98099999999999998</v>
      </c>
      <c r="BH21">
        <v>2.5398000000000001</v>
      </c>
      <c r="BI21">
        <v>0.24859999999999999</v>
      </c>
      <c r="BJ21">
        <f t="shared" si="24"/>
        <v>1.9084057200000002</v>
      </c>
      <c r="BK21">
        <f t="shared" si="25"/>
        <v>0.63139427999999997</v>
      </c>
      <c r="BL21">
        <f t="shared" si="26"/>
        <v>0.16087561660236332</v>
      </c>
      <c r="BM21">
        <f t="shared" si="27"/>
        <v>7.1760278116070275E-2</v>
      </c>
      <c r="BN21">
        <v>1.2218</v>
      </c>
      <c r="BO21">
        <f t="shared" si="28"/>
        <v>0.89421926184517697</v>
      </c>
      <c r="BQ21">
        <v>1.5045999999999999</v>
      </c>
      <c r="BR21">
        <v>0.25090000000000001</v>
      </c>
      <c r="BS21">
        <f t="shared" si="29"/>
        <v>1.1270958599999998</v>
      </c>
      <c r="BT21">
        <f t="shared" si="30"/>
        <v>0.37750413999999999</v>
      </c>
      <c r="BU21">
        <f t="shared" si="31"/>
        <v>0.10707248213316564</v>
      </c>
      <c r="BV21">
        <f t="shared" si="32"/>
        <v>4.4179556794363993E-2</v>
      </c>
      <c r="BW21">
        <v>1.0973999999999999</v>
      </c>
      <c r="BX21">
        <f t="shared" si="33"/>
        <v>0.9422448510923358</v>
      </c>
      <c r="DD21">
        <v>0.15</v>
      </c>
      <c r="DE21">
        <v>0.15</v>
      </c>
      <c r="DF21">
        <f t="shared" si="44"/>
        <v>6.3189173725363042E-3</v>
      </c>
      <c r="DG21">
        <f t="shared" si="45"/>
        <v>1.105883458228361E-2</v>
      </c>
      <c r="DH21">
        <v>0.98899999999999999</v>
      </c>
      <c r="DJ21">
        <v>0.3</v>
      </c>
      <c r="DK21">
        <v>0.3</v>
      </c>
      <c r="DL21">
        <f t="shared" si="46"/>
        <v>1.2558478755491905E-2</v>
      </c>
      <c r="DM21">
        <f t="shared" si="47"/>
        <v>4.8079595776519553E-2</v>
      </c>
      <c r="DN21">
        <v>0.97799999999999998</v>
      </c>
      <c r="DP21">
        <v>0.5</v>
      </c>
      <c r="DQ21">
        <v>0.5</v>
      </c>
      <c r="DR21">
        <f t="shared" si="48"/>
        <v>2.8390431588970286E-2</v>
      </c>
      <c r="DS21">
        <f t="shared" si="49"/>
        <v>7.7643933664151718E-2</v>
      </c>
      <c r="DT21">
        <v>0.96699999999999997</v>
      </c>
      <c r="DV21">
        <v>0.5</v>
      </c>
      <c r="DW21">
        <v>1.5</v>
      </c>
      <c r="DX21">
        <f t="shared" si="50"/>
        <v>4.5441745696135467E-2</v>
      </c>
      <c r="DY21">
        <f t="shared" si="51"/>
        <v>8.0595038890829848E-2</v>
      </c>
      <c r="DZ21">
        <v>0.91620000000000001</v>
      </c>
      <c r="EB21" s="2">
        <v>0.5</v>
      </c>
      <c r="EC21" s="2">
        <v>0.5</v>
      </c>
      <c r="ED21">
        <f t="shared" si="52"/>
        <v>4.5441745696135467E-2</v>
      </c>
      <c r="EE21">
        <f t="shared" si="53"/>
        <v>5.257273872798416E-2</v>
      </c>
      <c r="EF21" s="2">
        <v>0.94299999999999995</v>
      </c>
      <c r="EH21" s="2">
        <v>0.4</v>
      </c>
      <c r="EI21" s="2">
        <v>0.2</v>
      </c>
      <c r="EJ21">
        <f t="shared" si="54"/>
        <v>2.0947800852950279E-2</v>
      </c>
      <c r="EK21">
        <f t="shared" si="55"/>
        <v>8.4075143671835245E-3</v>
      </c>
      <c r="EL21">
        <v>0.98009999999999997</v>
      </c>
    </row>
    <row r="22" spans="6:142" ht="49" customHeight="1" x14ac:dyDescent="0.2">
      <c r="F22">
        <v>2.7429999999999999</v>
      </c>
      <c r="G22">
        <v>0.76429999999999998</v>
      </c>
      <c r="H22">
        <f t="shared" si="0"/>
        <v>0.64652510000000007</v>
      </c>
      <c r="I22">
        <f t="shared" si="1"/>
        <v>2.0964749</v>
      </c>
      <c r="J22">
        <f t="shared" si="2"/>
        <v>3.6407350580435545E-2</v>
      </c>
      <c r="K22">
        <f t="shared" si="3"/>
        <v>8.1623432953650238E-2</v>
      </c>
      <c r="L22">
        <v>1.1971000000000001</v>
      </c>
      <c r="M22">
        <f t="shared" si="4"/>
        <v>0.88842215999483787</v>
      </c>
      <c r="O22">
        <v>4.2045000000000003</v>
      </c>
      <c r="P22">
        <v>0.20399999999999999</v>
      </c>
      <c r="Q22">
        <f t="shared" si="5"/>
        <v>3.3467820000000006</v>
      </c>
      <c r="R22">
        <f t="shared" si="6"/>
        <v>0.85771799999999998</v>
      </c>
      <c r="S22">
        <f t="shared" si="7"/>
        <v>0.22146194732173849</v>
      </c>
      <c r="T22">
        <f t="shared" si="8"/>
        <v>5.5834390156251863E-2</v>
      </c>
      <c r="U22">
        <v>0.88229999999999997</v>
      </c>
      <c r="V22">
        <f t="shared" si="9"/>
        <v>0.87489072095735443</v>
      </c>
      <c r="X22">
        <v>3.9182999999999999</v>
      </c>
      <c r="Y22">
        <v>0.52549999999999997</v>
      </c>
      <c r="Z22">
        <f t="shared" si="10"/>
        <v>1.85923335</v>
      </c>
      <c r="AA22">
        <f t="shared" si="11"/>
        <v>2.0590666499999997</v>
      </c>
      <c r="AB22">
        <f t="shared" si="12"/>
        <v>0.13233636075465802</v>
      </c>
      <c r="AC22">
        <f t="shared" si="13"/>
        <v>0.11960765443565646</v>
      </c>
      <c r="AD22">
        <v>1.1897</v>
      </c>
      <c r="AE22">
        <f t="shared" si="14"/>
        <v>0.84539155709971769</v>
      </c>
      <c r="AG22">
        <v>1.8</v>
      </c>
      <c r="AH22">
        <v>0.6</v>
      </c>
      <c r="AI22">
        <f t="shared" si="15"/>
        <v>7.0898957288481793E-2</v>
      </c>
      <c r="AJ22">
        <f t="shared" si="16"/>
        <v>0.11106212075687727</v>
      </c>
      <c r="AK22">
        <v>0.78949999999999998</v>
      </c>
      <c r="AM22" s="2">
        <v>2.25</v>
      </c>
      <c r="AN22">
        <v>0.75</v>
      </c>
      <c r="AO22">
        <f t="shared" si="17"/>
        <v>8.7080222368999427E-2</v>
      </c>
      <c r="AP22">
        <f t="shared" si="18"/>
        <v>6.664896410868594E-2</v>
      </c>
      <c r="AQ22">
        <v>0.83899999999999997</v>
      </c>
      <c r="AS22">
        <v>0.75</v>
      </c>
      <c r="AT22">
        <v>0.25</v>
      </c>
      <c r="AU22">
        <f t="shared" si="19"/>
        <v>3.0815699428811235E-2</v>
      </c>
      <c r="AV22">
        <f t="shared" si="20"/>
        <v>2.6995996088523908E-2</v>
      </c>
      <c r="AW22" s="2">
        <v>0.95899999999999996</v>
      </c>
      <c r="BH22">
        <v>2.7113</v>
      </c>
      <c r="BI22">
        <v>0.50049999999999994</v>
      </c>
      <c r="BJ22">
        <f t="shared" si="24"/>
        <v>1.3542943500000002</v>
      </c>
      <c r="BK22">
        <f t="shared" si="25"/>
        <v>1.3570056499999998</v>
      </c>
      <c r="BL22">
        <f t="shared" si="26"/>
        <v>0.11975892058798297</v>
      </c>
      <c r="BM22">
        <f t="shared" si="27"/>
        <v>0.14247868571303807</v>
      </c>
      <c r="BN22">
        <v>1.1445000000000001</v>
      </c>
      <c r="BO22">
        <f t="shared" si="28"/>
        <v>0.89422070490455563</v>
      </c>
      <c r="BQ22">
        <v>1.5804</v>
      </c>
      <c r="BR22">
        <v>0.49819999999999998</v>
      </c>
      <c r="BS22">
        <f t="shared" si="29"/>
        <v>0.79304472000000004</v>
      </c>
      <c r="BT22">
        <f t="shared" si="30"/>
        <v>0.78735527999999999</v>
      </c>
      <c r="BU22">
        <f t="shared" si="31"/>
        <v>7.7807270568410039E-2</v>
      </c>
      <c r="BV22">
        <f t="shared" si="32"/>
        <v>8.7927260193059104E-2</v>
      </c>
      <c r="BW22">
        <v>1.0448</v>
      </c>
      <c r="BX22">
        <f t="shared" si="33"/>
        <v>0.94224302194071263</v>
      </c>
      <c r="DD22">
        <v>0.2</v>
      </c>
      <c r="DE22">
        <v>0.2</v>
      </c>
      <c r="DF22">
        <f t="shared" si="44"/>
        <v>8.4075143671835245E-3</v>
      </c>
      <c r="DG22">
        <f t="shared" si="45"/>
        <v>1.4690957818919903E-2</v>
      </c>
      <c r="DH22">
        <v>0.98699999999999999</v>
      </c>
      <c r="DJ22">
        <v>0.5</v>
      </c>
      <c r="DK22">
        <v>0.5</v>
      </c>
      <c r="DL22">
        <f t="shared" si="46"/>
        <v>2.0757013583079468E-2</v>
      </c>
      <c r="DM22">
        <f t="shared" si="47"/>
        <v>7.7643933664151718E-2</v>
      </c>
      <c r="DN22">
        <v>0.96399999999999997</v>
      </c>
      <c r="DP22">
        <v>0.75</v>
      </c>
      <c r="DQ22">
        <v>0.75</v>
      </c>
      <c r="DR22">
        <f t="shared" si="48"/>
        <v>4.1989596007012638E-2</v>
      </c>
      <c r="DS22">
        <f t="shared" si="49"/>
        <v>0.11211343638736715</v>
      </c>
      <c r="DT22">
        <v>0.95099999999999996</v>
      </c>
      <c r="DV22">
        <v>0.6</v>
      </c>
      <c r="DW22">
        <v>1.8</v>
      </c>
      <c r="DX22">
        <f t="shared" si="50"/>
        <v>5.403896981059967E-2</v>
      </c>
      <c r="DY22">
        <f t="shared" si="51"/>
        <v>9.5179842054593233E-2</v>
      </c>
      <c r="DZ22">
        <v>0.8962</v>
      </c>
      <c r="EB22" s="2">
        <v>0.7</v>
      </c>
      <c r="EC22" s="2">
        <v>0.7</v>
      </c>
      <c r="ED22">
        <f t="shared" si="52"/>
        <v>6.2482714525049048E-2</v>
      </c>
      <c r="EE22">
        <f t="shared" si="53"/>
        <v>7.2085932265984726E-2</v>
      </c>
      <c r="EF22" s="2">
        <v>0.91100000000000003</v>
      </c>
      <c r="EH22" s="2">
        <v>0.6</v>
      </c>
      <c r="EI22" s="2">
        <v>0.3</v>
      </c>
      <c r="EJ22">
        <f t="shared" si="54"/>
        <v>3.1096004821266277E-2</v>
      </c>
      <c r="EK22">
        <f t="shared" si="55"/>
        <v>1.2558478755491905E-2</v>
      </c>
      <c r="EL22">
        <v>0.96950000000000003</v>
      </c>
    </row>
    <row r="23" spans="6:142" ht="49" customHeight="1" x14ac:dyDescent="0.2">
      <c r="F23">
        <v>2.8344</v>
      </c>
      <c r="G23">
        <v>0.53949999999999998</v>
      </c>
      <c r="H23">
        <f t="shared" si="0"/>
        <v>1.3052412</v>
      </c>
      <c r="I23">
        <f t="shared" si="1"/>
        <v>1.5291588</v>
      </c>
      <c r="J23">
        <f t="shared" si="2"/>
        <v>7.0872279066451854E-2</v>
      </c>
      <c r="K23">
        <f t="shared" si="3"/>
        <v>6.0880451508000318E-2</v>
      </c>
      <c r="L23">
        <v>1.1585000000000001</v>
      </c>
      <c r="M23">
        <f t="shared" si="4"/>
        <v>0.8884219327278039</v>
      </c>
      <c r="O23">
        <v>5.2000999999999999</v>
      </c>
      <c r="P23">
        <v>0.49730000000000002</v>
      </c>
      <c r="Q23">
        <f t="shared" si="5"/>
        <v>2.6140902699999997</v>
      </c>
      <c r="R23">
        <f t="shared" si="6"/>
        <v>2.5860097300000002</v>
      </c>
      <c r="S23">
        <f t="shared" si="7"/>
        <v>0.18179247258058506</v>
      </c>
      <c r="T23">
        <f t="shared" si="8"/>
        <v>0.15131611589844854</v>
      </c>
      <c r="U23">
        <v>1.0444</v>
      </c>
      <c r="V23">
        <f t="shared" si="9"/>
        <v>0.82227869689405642</v>
      </c>
      <c r="X23">
        <v>4.6147999999999998</v>
      </c>
      <c r="Y23">
        <v>0.22020000000000001</v>
      </c>
      <c r="Z23">
        <f t="shared" si="10"/>
        <v>3.5986210400000003</v>
      </c>
      <c r="AA23">
        <f t="shared" si="11"/>
        <v>1.01617896</v>
      </c>
      <c r="AB23">
        <f t="shared" si="12"/>
        <v>0.22792399909387309</v>
      </c>
      <c r="AC23">
        <f t="shared" si="13"/>
        <v>6.2834586603303405E-2</v>
      </c>
      <c r="AD23">
        <v>1.2701</v>
      </c>
      <c r="AE23">
        <f t="shared" si="14"/>
        <v>0.80962958725260137</v>
      </c>
      <c r="AG23">
        <v>2.1</v>
      </c>
      <c r="AH23">
        <v>0.7</v>
      </c>
      <c r="AI23">
        <f t="shared" si="15"/>
        <v>8.1749458278092921E-2</v>
      </c>
      <c r="AJ23">
        <f t="shared" si="16"/>
        <v>0.12721763090208166</v>
      </c>
      <c r="AK23">
        <v>0.74960000000000004</v>
      </c>
      <c r="AM23" s="2">
        <v>2.7</v>
      </c>
      <c r="AN23">
        <v>0.9</v>
      </c>
      <c r="AO23">
        <f t="shared" si="17"/>
        <v>0.10270750831027442</v>
      </c>
      <c r="AP23">
        <f t="shared" si="18"/>
        <v>7.892668062952414E-2</v>
      </c>
      <c r="AQ23">
        <v>0.79700000000000004</v>
      </c>
      <c r="AS23">
        <v>1.1299999999999999</v>
      </c>
      <c r="AT23">
        <v>0.37</v>
      </c>
      <c r="AU23">
        <f t="shared" si="19"/>
        <v>4.5715222222101344E-2</v>
      </c>
      <c r="AV23">
        <f t="shared" si="20"/>
        <v>3.9442969135573595E-2</v>
      </c>
      <c r="AW23" s="2">
        <v>0.93500000000000005</v>
      </c>
      <c r="BH23">
        <v>2.9222000000000001</v>
      </c>
      <c r="BI23">
        <v>0.74929999999999997</v>
      </c>
      <c r="BJ23">
        <f t="shared" si="24"/>
        <v>0.73259554000000016</v>
      </c>
      <c r="BK23">
        <f t="shared" si="25"/>
        <v>2.18960446</v>
      </c>
      <c r="BL23">
        <f t="shared" si="26"/>
        <v>6.8551401445021476E-2</v>
      </c>
      <c r="BM23">
        <f t="shared" si="27"/>
        <v>0.21141565428798167</v>
      </c>
      <c r="BN23">
        <v>1.0619000000000001</v>
      </c>
      <c r="BO23">
        <f t="shared" si="28"/>
        <v>0.89422066205413198</v>
      </c>
      <c r="BQ23">
        <v>1.6738999999999999</v>
      </c>
      <c r="BR23">
        <v>0.75619999999999998</v>
      </c>
      <c r="BS23">
        <f t="shared" si="29"/>
        <v>0.40809682000000003</v>
      </c>
      <c r="BT23">
        <f t="shared" si="30"/>
        <v>1.26580318</v>
      </c>
      <c r="BU23">
        <f t="shared" si="31"/>
        <v>4.1610787609347166E-2</v>
      </c>
      <c r="BV23">
        <f t="shared" si="32"/>
        <v>0.13418784592707492</v>
      </c>
      <c r="BW23">
        <v>0.98640000000000005</v>
      </c>
      <c r="BX23">
        <f t="shared" si="33"/>
        <v>0.94224529514081556</v>
      </c>
      <c r="DD23">
        <v>0.3</v>
      </c>
      <c r="DE23">
        <v>0.3</v>
      </c>
      <c r="DF23">
        <f t="shared" si="44"/>
        <v>1.2558478755491905E-2</v>
      </c>
      <c r="DG23">
        <f t="shared" si="45"/>
        <v>2.1875748876379764E-2</v>
      </c>
      <c r="DH23">
        <v>0.98</v>
      </c>
      <c r="DJ23">
        <v>0.75</v>
      </c>
      <c r="DK23">
        <v>0.75</v>
      </c>
      <c r="DL23">
        <f t="shared" si="46"/>
        <v>3.0815699428811235E-2</v>
      </c>
      <c r="DM23">
        <f t="shared" si="47"/>
        <v>0.11211343638736715</v>
      </c>
      <c r="DN23">
        <v>0.94799999999999995</v>
      </c>
      <c r="DP23">
        <v>1</v>
      </c>
      <c r="DQ23">
        <v>1</v>
      </c>
      <c r="DR23">
        <f t="shared" si="48"/>
        <v>5.5213332829447105E-2</v>
      </c>
      <c r="DS23">
        <f t="shared" si="49"/>
        <v>0.14409942141120888</v>
      </c>
      <c r="DT23">
        <v>0.93400000000000005</v>
      </c>
      <c r="DV23">
        <v>0.7</v>
      </c>
      <c r="DW23">
        <v>2.1</v>
      </c>
      <c r="DX23">
        <f t="shared" si="50"/>
        <v>6.2482714525049048E-2</v>
      </c>
      <c r="DY23">
        <f t="shared" si="51"/>
        <v>0.10930914454487478</v>
      </c>
      <c r="DZ23">
        <v>0.874</v>
      </c>
      <c r="EB23" s="2">
        <v>0.9</v>
      </c>
      <c r="EC23" s="2">
        <v>0.9</v>
      </c>
      <c r="ED23">
        <f t="shared" si="52"/>
        <v>7.8925917090437503E-2</v>
      </c>
      <c r="EE23">
        <f t="shared" si="53"/>
        <v>9.0811559785504273E-2</v>
      </c>
      <c r="EF23" s="2">
        <v>0.873</v>
      </c>
      <c r="EH23" s="2">
        <v>1</v>
      </c>
      <c r="EI23" s="2">
        <v>0.5</v>
      </c>
      <c r="EJ23">
        <f t="shared" si="54"/>
        <v>5.0774093726565987E-2</v>
      </c>
      <c r="EK23">
        <f t="shared" si="55"/>
        <v>2.0757013583079468E-2</v>
      </c>
      <c r="EL23">
        <v>0.95</v>
      </c>
    </row>
    <row r="24" spans="6:142" ht="49" customHeight="1" x14ac:dyDescent="0.2">
      <c r="F24">
        <v>2.9218999999999999</v>
      </c>
      <c r="G24">
        <v>0.35139999999999999</v>
      </c>
      <c r="H24">
        <f t="shared" si="0"/>
        <v>1.8951443400000001</v>
      </c>
      <c r="I24">
        <f t="shared" si="1"/>
        <v>1.0267556599999998</v>
      </c>
      <c r="J24">
        <f t="shared" si="2"/>
        <v>9.9709216616347185E-2</v>
      </c>
      <c r="K24">
        <f t="shared" si="3"/>
        <v>4.1712601668045121E-2</v>
      </c>
      <c r="L24">
        <v>1.1237999999999999</v>
      </c>
      <c r="M24">
        <f t="shared" si="4"/>
        <v>0.88842261068794492</v>
      </c>
      <c r="O24">
        <v>5.1849999999999996</v>
      </c>
      <c r="P24">
        <v>0.80400000000000005</v>
      </c>
      <c r="Q24">
        <f t="shared" si="5"/>
        <v>1.0162599999999997</v>
      </c>
      <c r="R24">
        <f t="shared" si="6"/>
        <v>4.1687399999999997</v>
      </c>
      <c r="S24">
        <f t="shared" si="7"/>
        <v>7.950898866206052E-2</v>
      </c>
      <c r="T24">
        <f t="shared" si="8"/>
        <v>0.22325146894027137</v>
      </c>
      <c r="U24">
        <v>1.2304999999999999</v>
      </c>
      <c r="V24">
        <f t="shared" si="9"/>
        <v>0.79463401694069269</v>
      </c>
      <c r="X24">
        <v>4.7088999999999999</v>
      </c>
      <c r="Y24">
        <v>0.4133</v>
      </c>
      <c r="Z24">
        <f t="shared" si="10"/>
        <v>2.7627116300000001</v>
      </c>
      <c r="AA24">
        <f t="shared" si="11"/>
        <v>1.94618837</v>
      </c>
      <c r="AB24">
        <f t="shared" si="12"/>
        <v>0.18476241773442284</v>
      </c>
      <c r="AC24">
        <f t="shared" si="13"/>
        <v>0.11379690410968794</v>
      </c>
      <c r="AD24">
        <v>1.2446999999999999</v>
      </c>
      <c r="AE24">
        <f t="shared" si="14"/>
        <v>0.80963220239977196</v>
      </c>
      <c r="AG24">
        <v>2.4</v>
      </c>
      <c r="AH24">
        <v>0.8</v>
      </c>
      <c r="AI24">
        <f t="shared" si="15"/>
        <v>9.2349449818542498E-2</v>
      </c>
      <c r="AJ24">
        <f t="shared" si="16"/>
        <v>0.14279640385947348</v>
      </c>
      <c r="AK24">
        <v>0.70840000000000003</v>
      </c>
      <c r="AM24" s="2">
        <v>3.15</v>
      </c>
      <c r="AN24">
        <v>1.05</v>
      </c>
      <c r="AO24">
        <f t="shared" si="17"/>
        <v>0.11780878523063698</v>
      </c>
      <c r="AP24">
        <f t="shared" si="18"/>
        <v>9.0885577904264894E-2</v>
      </c>
      <c r="AQ24">
        <v>0.75</v>
      </c>
      <c r="AS24">
        <v>1.5</v>
      </c>
      <c r="AT24">
        <v>0.5</v>
      </c>
      <c r="AU24">
        <f t="shared" si="19"/>
        <v>5.978896023001324E-2</v>
      </c>
      <c r="AV24">
        <f t="shared" si="20"/>
        <v>5.257273872798416E-2</v>
      </c>
      <c r="AW24" s="2">
        <v>0.90700000000000003</v>
      </c>
      <c r="BH24">
        <v>9.3976000000000006</v>
      </c>
      <c r="BI24">
        <v>0.24859999999999999</v>
      </c>
      <c r="BJ24">
        <f t="shared" si="24"/>
        <v>7.0613566400000014</v>
      </c>
      <c r="BK24">
        <f t="shared" si="25"/>
        <v>2.3362433600000001</v>
      </c>
      <c r="BL24">
        <f t="shared" si="26"/>
        <v>0.41499390102583228</v>
      </c>
      <c r="BM24">
        <f t="shared" si="27"/>
        <v>0.22242503614870648</v>
      </c>
      <c r="BN24">
        <v>2.3267000000000002</v>
      </c>
      <c r="BO24">
        <f t="shared" si="28"/>
        <v>0.45484423953844572</v>
      </c>
      <c r="BQ24">
        <v>2.278</v>
      </c>
      <c r="BR24">
        <v>0.25090000000000001</v>
      </c>
      <c r="BS24">
        <f t="shared" si="29"/>
        <v>1.7064497999999999</v>
      </c>
      <c r="BT24">
        <f t="shared" si="30"/>
        <v>0.57155020000000001</v>
      </c>
      <c r="BU24">
        <f t="shared" si="31"/>
        <v>0.15365352124973725</v>
      </c>
      <c r="BV24">
        <f t="shared" si="32"/>
        <v>6.5403621396183539E-2</v>
      </c>
      <c r="BW24">
        <v>1.1982999999999999</v>
      </c>
      <c r="BX24">
        <f t="shared" si="33"/>
        <v>0.9063308762070228</v>
      </c>
      <c r="DD24">
        <v>0.45</v>
      </c>
      <c r="DE24">
        <v>0.45</v>
      </c>
      <c r="DF24">
        <f t="shared" si="44"/>
        <v>1.8720169706458973E-2</v>
      </c>
      <c r="DG24">
        <f t="shared" si="45"/>
        <v>3.2458595275011541E-2</v>
      </c>
      <c r="DH24">
        <v>0.96899999999999997</v>
      </c>
      <c r="DJ24">
        <v>1</v>
      </c>
      <c r="DK24">
        <v>1</v>
      </c>
      <c r="DL24">
        <f t="shared" si="46"/>
        <v>4.0669842689040801E-2</v>
      </c>
      <c r="DM24">
        <f t="shared" si="47"/>
        <v>0.14409942141120888</v>
      </c>
      <c r="DN24">
        <v>0.93300000000000005</v>
      </c>
      <c r="DP24">
        <v>1.25</v>
      </c>
      <c r="DQ24">
        <v>1.25</v>
      </c>
      <c r="DR24">
        <f t="shared" si="48"/>
        <v>6.8076976841712877E-2</v>
      </c>
      <c r="DS24">
        <f t="shared" si="49"/>
        <v>0.17386096079970262</v>
      </c>
      <c r="DT24">
        <v>0.91700000000000004</v>
      </c>
      <c r="DV24">
        <v>0.8</v>
      </c>
      <c r="DW24">
        <v>2.4</v>
      </c>
      <c r="DX24">
        <f t="shared" si="50"/>
        <v>7.0777053396867406E-2</v>
      </c>
      <c r="DY24">
        <f t="shared" si="51"/>
        <v>0.12300395700614598</v>
      </c>
      <c r="DZ24">
        <v>0.85050000000000003</v>
      </c>
      <c r="EB24" s="2">
        <v>1</v>
      </c>
      <c r="EC24" s="2">
        <v>1</v>
      </c>
      <c r="ED24">
        <f t="shared" si="52"/>
        <v>8.6933099588206816E-2</v>
      </c>
      <c r="EE24">
        <f t="shared" si="53"/>
        <v>9.9893787466921097E-2</v>
      </c>
      <c r="EF24" s="2">
        <v>0.85399999999999998</v>
      </c>
      <c r="EH24" s="2">
        <v>2</v>
      </c>
      <c r="EI24" s="2">
        <v>1</v>
      </c>
      <c r="EJ24">
        <f t="shared" si="54"/>
        <v>9.6641312399501342E-2</v>
      </c>
      <c r="EK24">
        <f t="shared" si="55"/>
        <v>4.0669842689040801E-2</v>
      </c>
      <c r="EL24">
        <v>0.89300000000000002</v>
      </c>
    </row>
    <row r="25" spans="6:142" ht="49" customHeight="1" x14ac:dyDescent="0.2">
      <c r="F25">
        <v>3.02</v>
      </c>
      <c r="G25">
        <v>0.1636</v>
      </c>
      <c r="H25">
        <f t="shared" si="0"/>
        <v>2.525928</v>
      </c>
      <c r="I25">
        <f t="shared" si="1"/>
        <v>0.49407200000000001</v>
      </c>
      <c r="J25">
        <f t="shared" si="2"/>
        <v>0.12862780848733027</v>
      </c>
      <c r="K25">
        <f t="shared" si="3"/>
        <v>2.0515967310153455E-2</v>
      </c>
      <c r="L25">
        <v>1.0872999999999999</v>
      </c>
      <c r="M25">
        <f t="shared" si="4"/>
        <v>0.88842213758822641</v>
      </c>
      <c r="O25">
        <v>5.6761999999999997</v>
      </c>
      <c r="P25">
        <v>0.60640000000000005</v>
      </c>
      <c r="Q25">
        <f t="shared" si="5"/>
        <v>2.2341523199999997</v>
      </c>
      <c r="R25">
        <f t="shared" si="6"/>
        <v>3.4420476799999999</v>
      </c>
      <c r="S25">
        <f t="shared" si="7"/>
        <v>0.15958696153322699</v>
      </c>
      <c r="T25">
        <f t="shared" si="8"/>
        <v>0.19179864376931016</v>
      </c>
      <c r="U25">
        <v>1.1240000000000001</v>
      </c>
      <c r="V25">
        <f t="shared" si="9"/>
        <v>0.79463669960446748</v>
      </c>
      <c r="X25">
        <v>4.7923999999999998</v>
      </c>
      <c r="Y25">
        <v>0.61499999999999999</v>
      </c>
      <c r="Z25">
        <f t="shared" si="10"/>
        <v>1.8450739999999999</v>
      </c>
      <c r="AA25">
        <f t="shared" si="11"/>
        <v>2.9473259999999999</v>
      </c>
      <c r="AB25">
        <f t="shared" si="12"/>
        <v>0.1314610184489545</v>
      </c>
      <c r="AC25">
        <f t="shared" si="13"/>
        <v>0.1628048034649186</v>
      </c>
      <c r="AD25">
        <v>1.2230000000000001</v>
      </c>
      <c r="AE25">
        <f t="shared" si="14"/>
        <v>0.80963402936147433</v>
      </c>
      <c r="AG25" s="2">
        <v>0.6</v>
      </c>
      <c r="AH25">
        <v>0.05</v>
      </c>
      <c r="AI25">
        <f t="shared" si="15"/>
        <v>2.4805438933121548E-2</v>
      </c>
      <c r="AJ25">
        <f t="shared" si="16"/>
        <v>1.0304217638061325E-2</v>
      </c>
      <c r="AK25" s="2">
        <v>0.97660000000000002</v>
      </c>
      <c r="AM25" s="2">
        <v>3.6</v>
      </c>
      <c r="AN25">
        <v>1.2</v>
      </c>
      <c r="AO25">
        <f t="shared" si="17"/>
        <v>0.13241017148433518</v>
      </c>
      <c r="AP25">
        <f t="shared" si="18"/>
        <v>0.10253791508070158</v>
      </c>
      <c r="AQ25">
        <v>0.70299999999999996</v>
      </c>
      <c r="AS25">
        <v>1.88</v>
      </c>
      <c r="AT25">
        <v>0.62</v>
      </c>
      <c r="AU25">
        <f t="shared" si="19"/>
        <v>7.381741858984775E-2</v>
      </c>
      <c r="AV25">
        <f t="shared" si="20"/>
        <v>6.437791048641496E-2</v>
      </c>
      <c r="AW25" s="2">
        <v>0.876</v>
      </c>
      <c r="BH25">
        <v>11.0989</v>
      </c>
      <c r="BI25">
        <v>0.50070000000000003</v>
      </c>
      <c r="BJ25">
        <f t="shared" si="24"/>
        <v>5.5416807700000001</v>
      </c>
      <c r="BK25">
        <f t="shared" si="25"/>
        <v>5.5572192300000003</v>
      </c>
      <c r="BL25">
        <f t="shared" si="26"/>
        <v>0.35762258695280374</v>
      </c>
      <c r="BM25">
        <f t="shared" si="27"/>
        <v>0.40491277443538481</v>
      </c>
      <c r="BN25">
        <v>1.97</v>
      </c>
      <c r="BO25">
        <f t="shared" si="28"/>
        <v>0.45485346466962273</v>
      </c>
      <c r="BQ25">
        <v>2.4293999999999998</v>
      </c>
      <c r="BR25">
        <v>0.49819999999999998</v>
      </c>
      <c r="BS25">
        <f t="shared" si="29"/>
        <v>1.2190729199999999</v>
      </c>
      <c r="BT25">
        <f t="shared" si="30"/>
        <v>1.2103270799999999</v>
      </c>
      <c r="BU25">
        <f t="shared" si="31"/>
        <v>0.11480702230416678</v>
      </c>
      <c r="BV25">
        <f t="shared" si="32"/>
        <v>0.12906586171617163</v>
      </c>
      <c r="BW25">
        <v>1.1236999999999999</v>
      </c>
      <c r="BX25">
        <f t="shared" si="33"/>
        <v>0.90632469208323385</v>
      </c>
      <c r="DD25">
        <v>0.5</v>
      </c>
      <c r="DE25">
        <v>0.5</v>
      </c>
      <c r="DF25">
        <f t="shared" si="44"/>
        <v>2.0757013583079468E-2</v>
      </c>
      <c r="DG25">
        <f t="shared" si="45"/>
        <v>3.5935504085223301E-2</v>
      </c>
      <c r="DH25">
        <v>0.96699999999999997</v>
      </c>
      <c r="DJ25">
        <v>1.25</v>
      </c>
      <c r="DK25">
        <v>1.25</v>
      </c>
      <c r="DL25">
        <f t="shared" si="46"/>
        <v>5.0325619603178558E-2</v>
      </c>
      <c r="DM25">
        <f t="shared" si="47"/>
        <v>0.17386096079970262</v>
      </c>
      <c r="DN25">
        <v>0.91100000000000003</v>
      </c>
      <c r="DP25">
        <v>1.5</v>
      </c>
      <c r="DQ25">
        <v>1.5</v>
      </c>
      <c r="DR25">
        <f t="shared" si="48"/>
        <v>8.0595038890829848E-2</v>
      </c>
      <c r="DS25">
        <f t="shared" si="49"/>
        <v>0.20162230347933</v>
      </c>
      <c r="DT25">
        <v>0.89900000000000002</v>
      </c>
      <c r="DV25">
        <v>1</v>
      </c>
      <c r="DW25">
        <v>3</v>
      </c>
      <c r="DX25">
        <f t="shared" si="50"/>
        <v>8.6933099588206816E-2</v>
      </c>
      <c r="DY25">
        <f t="shared" si="51"/>
        <v>0.14916788619269647</v>
      </c>
      <c r="DZ25">
        <v>0.79930000000000001</v>
      </c>
      <c r="EB25" s="2">
        <v>1.2</v>
      </c>
      <c r="EC25" s="2">
        <v>1.2</v>
      </c>
      <c r="ED25">
        <f t="shared" si="52"/>
        <v>0.10253694855382801</v>
      </c>
      <c r="EE25">
        <f t="shared" si="53"/>
        <v>0.11752455046700602</v>
      </c>
      <c r="EF25" s="2">
        <v>0.80900000000000005</v>
      </c>
      <c r="EH25" s="2">
        <v>3</v>
      </c>
      <c r="EI25" s="2">
        <v>1.5</v>
      </c>
      <c r="EJ25">
        <f t="shared" si="54"/>
        <v>0.13828017958241057</v>
      </c>
      <c r="EK25">
        <f t="shared" si="55"/>
        <v>5.978896023001324E-2</v>
      </c>
      <c r="EL25">
        <v>0.83199999999999996</v>
      </c>
    </row>
    <row r="26" spans="6:142" ht="49" customHeight="1" x14ac:dyDescent="0.2">
      <c r="F26">
        <v>3.3871000000000002</v>
      </c>
      <c r="G26">
        <v>0.76429999999999998</v>
      </c>
      <c r="H26">
        <f t="shared" si="0"/>
        <v>0.79833947000000016</v>
      </c>
      <c r="I26">
        <f t="shared" si="1"/>
        <v>2.5887605300000001</v>
      </c>
      <c r="J26">
        <f t="shared" si="2"/>
        <v>4.4575299856230384E-2</v>
      </c>
      <c r="K26">
        <f t="shared" si="3"/>
        <v>9.8894453896524473E-2</v>
      </c>
      <c r="L26">
        <v>1.2827</v>
      </c>
      <c r="M26">
        <f t="shared" si="4"/>
        <v>0.8551014578396946</v>
      </c>
      <c r="O26">
        <v>6.3019999999999996</v>
      </c>
      <c r="P26">
        <v>0.4506</v>
      </c>
      <c r="Q26">
        <f t="shared" si="5"/>
        <v>3.4623187999999998</v>
      </c>
      <c r="R26">
        <f t="shared" si="6"/>
        <v>2.8396811999999998</v>
      </c>
      <c r="S26">
        <f t="shared" si="7"/>
        <v>0.22736890969658036</v>
      </c>
      <c r="T26">
        <f t="shared" si="8"/>
        <v>0.16372902794447228</v>
      </c>
      <c r="U26">
        <v>1.0124</v>
      </c>
      <c r="V26">
        <f t="shared" si="9"/>
        <v>0.7946339510910021</v>
      </c>
      <c r="X26">
        <v>4.8578000000000001</v>
      </c>
      <c r="Y26">
        <v>0.80840000000000001</v>
      </c>
      <c r="Z26">
        <f t="shared" si="10"/>
        <v>0.93075447999999994</v>
      </c>
      <c r="AA26">
        <f t="shared" si="11"/>
        <v>3.9270455200000001</v>
      </c>
      <c r="AB26">
        <f t="shared" si="12"/>
        <v>7.0937207979778344E-2</v>
      </c>
      <c r="AC26">
        <f t="shared" si="13"/>
        <v>0.20578598469580731</v>
      </c>
      <c r="AD26">
        <v>1.2064999999999999</v>
      </c>
      <c r="AE26">
        <f t="shared" si="14"/>
        <v>0.80963897381786121</v>
      </c>
      <c r="AG26" s="2">
        <v>1.2</v>
      </c>
      <c r="AH26">
        <v>0.1</v>
      </c>
      <c r="AI26">
        <f t="shared" si="15"/>
        <v>4.8410045440323513E-2</v>
      </c>
      <c r="AJ26">
        <f t="shared" si="16"/>
        <v>2.0398247296544065E-2</v>
      </c>
      <c r="AK26" s="2">
        <v>0.95</v>
      </c>
      <c r="AM26" s="2">
        <v>4.05</v>
      </c>
      <c r="AN26">
        <v>1.35</v>
      </c>
      <c r="AO26">
        <f t="shared" si="17"/>
        <v>0.1465360844116779</v>
      </c>
      <c r="AP26">
        <f t="shared" si="18"/>
        <v>0.11389533074676426</v>
      </c>
      <c r="AQ26">
        <v>0.65700000000000003</v>
      </c>
      <c r="AS26">
        <v>2.25</v>
      </c>
      <c r="AT26">
        <v>0.75</v>
      </c>
      <c r="AU26">
        <f t="shared" si="19"/>
        <v>8.7080222368999427E-2</v>
      </c>
      <c r="AV26">
        <f t="shared" si="20"/>
        <v>7.6839282334858094E-2</v>
      </c>
      <c r="AW26" s="2">
        <v>0.84299999999999997</v>
      </c>
      <c r="BH26">
        <v>13.557700000000001</v>
      </c>
      <c r="BI26">
        <v>0.74960000000000004</v>
      </c>
      <c r="BJ26">
        <f t="shared" si="24"/>
        <v>3.3948480799999996</v>
      </c>
      <c r="BK26">
        <f t="shared" si="25"/>
        <v>10.162851920000001</v>
      </c>
      <c r="BL26">
        <f t="shared" si="26"/>
        <v>0.25431366761297503</v>
      </c>
      <c r="BM26">
        <f t="shared" si="27"/>
        <v>0.55443462973988644</v>
      </c>
      <c r="BN26">
        <v>1.6127</v>
      </c>
      <c r="BO26">
        <f t="shared" si="28"/>
        <v>0.45485887623712573</v>
      </c>
      <c r="BQ26">
        <v>2.6244000000000001</v>
      </c>
      <c r="BR26">
        <v>0.75619999999999998</v>
      </c>
      <c r="BS26">
        <f t="shared" si="29"/>
        <v>0.63982872000000002</v>
      </c>
      <c r="BT26">
        <f t="shared" si="30"/>
        <v>1.9845712799999999</v>
      </c>
      <c r="BU26">
        <f t="shared" si="31"/>
        <v>6.3732985410400969E-2</v>
      </c>
      <c r="BV26">
        <f t="shared" si="32"/>
        <v>0.19548888576135032</v>
      </c>
      <c r="BW26">
        <v>1.0402</v>
      </c>
      <c r="BX26">
        <f t="shared" si="33"/>
        <v>0.90632521128938526</v>
      </c>
      <c r="DD26">
        <v>0.75</v>
      </c>
      <c r="DE26">
        <v>0.75</v>
      </c>
      <c r="DF26">
        <f t="shared" si="44"/>
        <v>3.0815699428811235E-2</v>
      </c>
      <c r="DG26">
        <f t="shared" si="45"/>
        <v>5.2951830762492144E-2</v>
      </c>
      <c r="DH26">
        <v>0.94799999999999995</v>
      </c>
      <c r="DJ26">
        <v>1.5</v>
      </c>
      <c r="DK26">
        <v>1.5</v>
      </c>
      <c r="DL26">
        <f t="shared" si="46"/>
        <v>5.978896023001324E-2</v>
      </c>
      <c r="DM26">
        <f t="shared" si="47"/>
        <v>0.20162230347933</v>
      </c>
      <c r="DN26">
        <v>0.88800000000000001</v>
      </c>
      <c r="DP26">
        <v>1.75</v>
      </c>
      <c r="DQ26">
        <v>1.75</v>
      </c>
      <c r="DR26">
        <f t="shared" si="48"/>
        <v>9.2781260489716674E-2</v>
      </c>
      <c r="DS26">
        <f t="shared" si="49"/>
        <v>0.22757853595235705</v>
      </c>
      <c r="DT26">
        <v>0.88100000000000001</v>
      </c>
      <c r="DV26">
        <v>0.1</v>
      </c>
      <c r="DW26">
        <v>0.15</v>
      </c>
      <c r="DX26">
        <f t="shared" si="50"/>
        <v>9.4312054925058536E-3</v>
      </c>
      <c r="DY26">
        <f t="shared" si="51"/>
        <v>8.6898249941017042E-3</v>
      </c>
      <c r="DZ26">
        <v>0.99039999999999995</v>
      </c>
      <c r="EB26" s="2">
        <v>1.4</v>
      </c>
      <c r="EC26" s="2">
        <v>1.4</v>
      </c>
      <c r="ED26">
        <f t="shared" si="52"/>
        <v>0.11761643492332965</v>
      </c>
      <c r="EE26">
        <f t="shared" si="53"/>
        <v>0.13447789975869243</v>
      </c>
      <c r="EF26" s="2">
        <v>0.75800000000000001</v>
      </c>
      <c r="EH26" s="2">
        <v>4</v>
      </c>
      <c r="EI26" s="2">
        <v>2</v>
      </c>
      <c r="EJ26">
        <f t="shared" si="54"/>
        <v>0.17624962931233321</v>
      </c>
      <c r="EK26">
        <f t="shared" si="55"/>
        <v>7.8160894110185578E-2</v>
      </c>
      <c r="EL26">
        <v>0.76200000000000001</v>
      </c>
    </row>
    <row r="27" spans="6:142" ht="49" customHeight="1" x14ac:dyDescent="0.2">
      <c r="F27">
        <v>3.5146000000000002</v>
      </c>
      <c r="G27">
        <v>0.53949999999999998</v>
      </c>
      <c r="H27">
        <f t="shared" si="0"/>
        <v>1.6184733000000002</v>
      </c>
      <c r="I27">
        <f t="shared" si="1"/>
        <v>1.8961266999999999</v>
      </c>
      <c r="J27">
        <f t="shared" si="2"/>
        <v>8.6410559604841577E-2</v>
      </c>
      <c r="K27">
        <f t="shared" si="3"/>
        <v>7.440351384935151E-2</v>
      </c>
      <c r="L27">
        <v>1.2362</v>
      </c>
      <c r="M27">
        <f t="shared" si="4"/>
        <v>0.85509790403864272</v>
      </c>
      <c r="O27">
        <v>7.1212999999999997</v>
      </c>
      <c r="P27">
        <v>0.20399999999999999</v>
      </c>
      <c r="Q27">
        <f t="shared" si="5"/>
        <v>5.6685547999999999</v>
      </c>
      <c r="R27">
        <f t="shared" si="6"/>
        <v>1.4527451999999998</v>
      </c>
      <c r="S27">
        <f t="shared" si="7"/>
        <v>0.32514377973414527</v>
      </c>
      <c r="T27">
        <f t="shared" si="8"/>
        <v>9.1042104964230139E-2</v>
      </c>
      <c r="U27">
        <v>0.89590000000000003</v>
      </c>
      <c r="V27">
        <f t="shared" si="9"/>
        <v>0.79463887923966514</v>
      </c>
      <c r="X27">
        <v>4.8890000000000002</v>
      </c>
      <c r="Y27">
        <v>0.52559999999999996</v>
      </c>
      <c r="Z27">
        <f t="shared" si="10"/>
        <v>2.3193416000000004</v>
      </c>
      <c r="AA27">
        <f t="shared" si="11"/>
        <v>2.5696583999999998</v>
      </c>
      <c r="AB27">
        <f t="shared" si="12"/>
        <v>0.15985086496245096</v>
      </c>
      <c r="AC27">
        <f t="shared" si="13"/>
        <v>0.14496740816979894</v>
      </c>
      <c r="AD27">
        <v>1.2382</v>
      </c>
      <c r="AE27">
        <f t="shared" si="14"/>
        <v>0.80403940441281563</v>
      </c>
      <c r="AG27" s="2">
        <v>1.44</v>
      </c>
      <c r="AH27">
        <v>0.12</v>
      </c>
      <c r="AI27">
        <f t="shared" si="15"/>
        <v>5.7535000134207009E-2</v>
      </c>
      <c r="AJ27">
        <f t="shared" si="16"/>
        <v>2.4378441261143059E-2</v>
      </c>
      <c r="AK27" s="2">
        <v>0.93830000000000002</v>
      </c>
      <c r="AM27" s="2">
        <v>4.5</v>
      </c>
      <c r="AN27">
        <v>1.5</v>
      </c>
      <c r="AO27">
        <f t="shared" si="17"/>
        <v>0.16020937659822651</v>
      </c>
      <c r="AP27">
        <f t="shared" si="18"/>
        <v>0.12496888170585568</v>
      </c>
      <c r="AQ27">
        <v>0.61099999999999999</v>
      </c>
      <c r="AS27">
        <v>3</v>
      </c>
      <c r="AT27">
        <v>1</v>
      </c>
      <c r="AU27">
        <f t="shared" si="19"/>
        <v>0.11283182307737351</v>
      </c>
      <c r="AV27">
        <f t="shared" si="20"/>
        <v>9.9893787466921097E-2</v>
      </c>
      <c r="AW27" s="2">
        <v>0.77300000000000002</v>
      </c>
      <c r="BH27">
        <v>8.7077000000000009</v>
      </c>
      <c r="BI27">
        <v>0.24859999999999999</v>
      </c>
      <c r="BJ27">
        <f t="shared" si="24"/>
        <v>6.5429657800000012</v>
      </c>
      <c r="BK27">
        <f t="shared" si="25"/>
        <v>2.1647342200000002</v>
      </c>
      <c r="BL27">
        <f t="shared" si="26"/>
        <v>0.39661125134109754</v>
      </c>
      <c r="BM27">
        <f t="shared" si="27"/>
        <v>0.20951744655658694</v>
      </c>
      <c r="BN27">
        <v>2.2168999999999999</v>
      </c>
      <c r="BO27">
        <f t="shared" si="28"/>
        <v>0.49881602959168858</v>
      </c>
      <c r="BQ27">
        <v>1.8541000000000001</v>
      </c>
      <c r="BR27">
        <v>0.25090000000000001</v>
      </c>
      <c r="BS27">
        <f t="shared" si="29"/>
        <v>1.3889063100000001</v>
      </c>
      <c r="BT27">
        <f t="shared" si="30"/>
        <v>0.46519369000000005</v>
      </c>
      <c r="BU27">
        <f t="shared" si="31"/>
        <v>0.12874207416410818</v>
      </c>
      <c r="BV27">
        <f t="shared" si="32"/>
        <v>5.3888894740234339E-2</v>
      </c>
      <c r="BW27">
        <v>1.1423000000000001</v>
      </c>
      <c r="BX27">
        <f t="shared" si="33"/>
        <v>0.92653046097130598</v>
      </c>
      <c r="DD27">
        <v>1</v>
      </c>
      <c r="DE27">
        <v>1</v>
      </c>
      <c r="DF27">
        <f t="shared" si="44"/>
        <v>4.0669842689040801E-2</v>
      </c>
      <c r="DG27">
        <f t="shared" si="45"/>
        <v>6.93778791121865E-2</v>
      </c>
      <c r="DH27">
        <v>0.93100000000000005</v>
      </c>
      <c r="DJ27">
        <v>1.75</v>
      </c>
      <c r="DK27">
        <v>1.75</v>
      </c>
      <c r="DL27">
        <f t="shared" si="46"/>
        <v>6.9065560592428063E-2</v>
      </c>
      <c r="DM27">
        <f t="shared" si="47"/>
        <v>0.22757853595235705</v>
      </c>
      <c r="DN27">
        <v>0.88500000000000001</v>
      </c>
      <c r="DP27">
        <v>2</v>
      </c>
      <c r="DQ27">
        <v>2</v>
      </c>
      <c r="DR27">
        <f t="shared" si="48"/>
        <v>0.10464866413580688</v>
      </c>
      <c r="DS27">
        <f t="shared" si="49"/>
        <v>0.25190017355915972</v>
      </c>
      <c r="DT27">
        <v>0.86299999999999999</v>
      </c>
      <c r="DV27">
        <v>0.2</v>
      </c>
      <c r="DW27">
        <v>0.3</v>
      </c>
      <c r="DX27">
        <f t="shared" si="50"/>
        <v>1.8686177802288817E-2</v>
      </c>
      <c r="DY27">
        <f t="shared" si="51"/>
        <v>1.7229924955677066E-2</v>
      </c>
      <c r="DZ27">
        <v>0.98040000000000005</v>
      </c>
      <c r="EB27" s="2">
        <v>1.5</v>
      </c>
      <c r="EC27" s="2">
        <v>1.5</v>
      </c>
      <c r="ED27">
        <f t="shared" si="52"/>
        <v>0.12496773318516119</v>
      </c>
      <c r="EE27">
        <f t="shared" si="53"/>
        <v>0.14271262870026663</v>
      </c>
      <c r="EF27" s="2">
        <v>0.73099999999999998</v>
      </c>
    </row>
    <row r="28" spans="6:142" ht="49" customHeight="1" x14ac:dyDescent="0.2">
      <c r="F28">
        <v>3.6385000000000001</v>
      </c>
      <c r="G28">
        <v>0.35139999999999999</v>
      </c>
      <c r="H28">
        <f t="shared" si="0"/>
        <v>2.3599311000000003</v>
      </c>
      <c r="I28">
        <f t="shared" si="1"/>
        <v>1.2785689</v>
      </c>
      <c r="J28">
        <f t="shared" si="2"/>
        <v>0.1211992542652764</v>
      </c>
      <c r="K28">
        <f t="shared" si="3"/>
        <v>5.1416678313858662E-2</v>
      </c>
      <c r="L28">
        <v>1.1940999999999999</v>
      </c>
      <c r="M28">
        <f t="shared" si="4"/>
        <v>0.85509838681248307</v>
      </c>
      <c r="O28">
        <v>5.9218999999999999</v>
      </c>
      <c r="P28">
        <v>0.80400000000000005</v>
      </c>
      <c r="Q28">
        <f t="shared" si="5"/>
        <v>1.1606923999999996</v>
      </c>
      <c r="R28">
        <f t="shared" si="6"/>
        <v>4.7612076000000005</v>
      </c>
      <c r="S28">
        <f t="shared" si="7"/>
        <v>8.9794256293216426E-2</v>
      </c>
      <c r="T28">
        <f t="shared" si="8"/>
        <v>0.24713887505915899</v>
      </c>
      <c r="U28">
        <v>1.2695000000000001</v>
      </c>
      <c r="V28">
        <f t="shared" si="9"/>
        <v>0.76271962215137079</v>
      </c>
      <c r="X28">
        <v>5.5542999999999996</v>
      </c>
      <c r="Y28">
        <v>0.29289999999999999</v>
      </c>
      <c r="Z28">
        <f t="shared" si="10"/>
        <v>3.92744553</v>
      </c>
      <c r="AA28">
        <f t="shared" si="11"/>
        <v>1.6268544699999998</v>
      </c>
      <c r="AB28">
        <f t="shared" si="12"/>
        <v>0.24367565359833973</v>
      </c>
      <c r="AC28">
        <f t="shared" si="13"/>
        <v>9.6934881519750452E-2</v>
      </c>
      <c r="AD28">
        <v>1.3162</v>
      </c>
      <c r="AE28">
        <f t="shared" si="14"/>
        <v>0.76843715703678439</v>
      </c>
      <c r="AG28" s="2">
        <v>1.8</v>
      </c>
      <c r="AH28">
        <v>0.15</v>
      </c>
      <c r="AI28">
        <f t="shared" si="15"/>
        <v>7.0898957288481793E-2</v>
      </c>
      <c r="AJ28">
        <f t="shared" si="16"/>
        <v>3.0288455244660645E-2</v>
      </c>
      <c r="AK28" s="2">
        <v>0.9194</v>
      </c>
      <c r="AM28" s="2">
        <v>4.95</v>
      </c>
      <c r="AN28">
        <v>1.65</v>
      </c>
      <c r="AO28">
        <f t="shared" si="17"/>
        <v>0.17345145924251951</v>
      </c>
      <c r="AP28">
        <f t="shared" si="18"/>
        <v>0.13576907888064638</v>
      </c>
      <c r="AQ28">
        <v>0.56699999999999995</v>
      </c>
      <c r="AS28">
        <v>3.75</v>
      </c>
      <c r="AT28">
        <v>1.25</v>
      </c>
      <c r="AU28">
        <f t="shared" si="19"/>
        <v>0.13717048001363269</v>
      </c>
      <c r="AV28">
        <f t="shared" si="20"/>
        <v>0.12182484796592682</v>
      </c>
      <c r="AW28" s="2">
        <v>0.70099999999999996</v>
      </c>
      <c r="BH28">
        <v>10.1928</v>
      </c>
      <c r="BI28">
        <v>0.50070000000000003</v>
      </c>
      <c r="BJ28">
        <f t="shared" si="24"/>
        <v>5.0892650399999999</v>
      </c>
      <c r="BK28">
        <f t="shared" si="25"/>
        <v>5.1035349600000002</v>
      </c>
      <c r="BL28">
        <f t="shared" si="26"/>
        <v>0.33830380367337654</v>
      </c>
      <c r="BM28">
        <f t="shared" si="27"/>
        <v>0.38456873322200058</v>
      </c>
      <c r="BN28">
        <v>1.8938999999999999</v>
      </c>
      <c r="BO28">
        <f t="shared" si="28"/>
        <v>0.49881524259342874</v>
      </c>
      <c r="BQ28">
        <v>1.962</v>
      </c>
      <c r="BR28">
        <v>0.49819999999999998</v>
      </c>
      <c r="BS28">
        <f t="shared" si="29"/>
        <v>0.98453160000000006</v>
      </c>
      <c r="BT28">
        <f t="shared" si="30"/>
        <v>0.9774683999999999</v>
      </c>
      <c r="BU28">
        <f t="shared" si="31"/>
        <v>9.4813175609398309E-2</v>
      </c>
      <c r="BV28">
        <f t="shared" si="32"/>
        <v>0.10688866401755055</v>
      </c>
      <c r="BW28">
        <v>1.0794999999999999</v>
      </c>
      <c r="BX28">
        <f t="shared" si="33"/>
        <v>0.92652910664547894</v>
      </c>
      <c r="DD28">
        <v>1.25</v>
      </c>
      <c r="DE28">
        <v>1.25</v>
      </c>
      <c r="DF28">
        <f t="shared" si="44"/>
        <v>5.0325619603178558E-2</v>
      </c>
      <c r="DG28">
        <f t="shared" si="45"/>
        <v>8.52438396889829E-2</v>
      </c>
      <c r="DH28">
        <v>0.91100000000000003</v>
      </c>
      <c r="DJ28">
        <v>2</v>
      </c>
      <c r="DK28">
        <v>2</v>
      </c>
      <c r="DL28">
        <f t="shared" si="46"/>
        <v>7.8160894110185578E-2</v>
      </c>
      <c r="DM28">
        <f t="shared" si="47"/>
        <v>0.25190017355915972</v>
      </c>
      <c r="DN28">
        <v>0.84299999999999997</v>
      </c>
      <c r="DP28">
        <v>2.25</v>
      </c>
      <c r="DQ28">
        <v>2.25</v>
      </c>
      <c r="DR28">
        <f t="shared" si="48"/>
        <v>0.11620959973132773</v>
      </c>
      <c r="DS28">
        <f t="shared" si="49"/>
        <v>0.27473691081439794</v>
      </c>
      <c r="DT28">
        <v>0.84299999999999997</v>
      </c>
      <c r="DV28">
        <v>0.3</v>
      </c>
      <c r="DW28">
        <v>0.45</v>
      </c>
      <c r="DX28">
        <f t="shared" si="50"/>
        <v>2.7769810891505913E-2</v>
      </c>
      <c r="DY28">
        <f t="shared" si="51"/>
        <v>2.5624136459390937E-2</v>
      </c>
      <c r="DZ28">
        <v>0.96660000000000001</v>
      </c>
      <c r="EB28" s="2">
        <v>1.75</v>
      </c>
      <c r="EC28" s="2">
        <v>1.75</v>
      </c>
      <c r="ED28">
        <f t="shared" si="52"/>
        <v>0.14282101888579588</v>
      </c>
      <c r="EE28">
        <f t="shared" si="53"/>
        <v>0.16262984470970471</v>
      </c>
      <c r="EF28" s="2">
        <v>0.67300000000000004</v>
      </c>
    </row>
    <row r="29" spans="6:142" ht="49" customHeight="1" x14ac:dyDescent="0.2">
      <c r="F29">
        <v>3.7778999999999998</v>
      </c>
      <c r="G29">
        <v>0.1636</v>
      </c>
      <c r="H29">
        <f t="shared" si="0"/>
        <v>3.1598355599999999</v>
      </c>
      <c r="I29">
        <f t="shared" si="1"/>
        <v>0.61806443999999994</v>
      </c>
      <c r="J29">
        <f t="shared" si="2"/>
        <v>0.15587651052981774</v>
      </c>
      <c r="K29">
        <f t="shared" si="3"/>
        <v>2.5533197317155351E-2</v>
      </c>
      <c r="L29">
        <v>1.1500999999999999</v>
      </c>
      <c r="M29">
        <f t="shared" si="4"/>
        <v>0.85509130266517275</v>
      </c>
      <c r="O29">
        <v>6.5213999999999999</v>
      </c>
      <c r="P29">
        <v>0.60640000000000005</v>
      </c>
      <c r="Q29">
        <f t="shared" si="5"/>
        <v>2.5668230399999996</v>
      </c>
      <c r="R29">
        <f t="shared" si="6"/>
        <v>3.9545769600000003</v>
      </c>
      <c r="S29">
        <f t="shared" si="7"/>
        <v>0.17909405680013027</v>
      </c>
      <c r="T29">
        <f t="shared" si="8"/>
        <v>0.21423940458284449</v>
      </c>
      <c r="U29">
        <v>1.1528</v>
      </c>
      <c r="V29">
        <f t="shared" si="9"/>
        <v>0.76271913107605971</v>
      </c>
      <c r="X29">
        <v>5.6985000000000001</v>
      </c>
      <c r="Y29">
        <v>0.51849999999999996</v>
      </c>
      <c r="Z29">
        <f t="shared" si="10"/>
        <v>2.7438277500000003</v>
      </c>
      <c r="AA29">
        <f t="shared" si="11"/>
        <v>2.9546722499999998</v>
      </c>
      <c r="AB29">
        <f t="shared" si="12"/>
        <v>0.183731551481293</v>
      </c>
      <c r="AC29">
        <f t="shared" si="13"/>
        <v>0.16314439376184156</v>
      </c>
      <c r="AD29">
        <v>1.2827999999999999</v>
      </c>
      <c r="AE29">
        <f t="shared" si="14"/>
        <v>0.76845193786208021</v>
      </c>
      <c r="AG29" s="2">
        <v>2.4</v>
      </c>
      <c r="AH29">
        <v>0.2</v>
      </c>
      <c r="AI29">
        <f t="shared" si="15"/>
        <v>9.2349449818542498E-2</v>
      </c>
      <c r="AJ29">
        <f t="shared" si="16"/>
        <v>3.9980953222111926E-2</v>
      </c>
      <c r="AK29" s="2">
        <v>0.88490000000000002</v>
      </c>
      <c r="AM29" s="2">
        <v>5.4</v>
      </c>
      <c r="AN29">
        <v>1.8</v>
      </c>
      <c r="AO29">
        <f t="shared" si="17"/>
        <v>0.18628241403317819</v>
      </c>
      <c r="AP29">
        <f t="shared" si="18"/>
        <v>0.14630592059040118</v>
      </c>
      <c r="AQ29">
        <v>0.52300000000000002</v>
      </c>
      <c r="AS29">
        <v>4.5</v>
      </c>
      <c r="AT29">
        <v>1.5</v>
      </c>
      <c r="AU29">
        <f t="shared" si="19"/>
        <v>0.16020937659822651</v>
      </c>
      <c r="AV29">
        <f t="shared" si="20"/>
        <v>0.14271262870026663</v>
      </c>
      <c r="AW29" s="2">
        <v>0.629</v>
      </c>
      <c r="BH29">
        <v>12.308400000000001</v>
      </c>
      <c r="BI29">
        <v>0.74960000000000004</v>
      </c>
      <c r="BJ29">
        <f t="shared" si="24"/>
        <v>3.0820233599999995</v>
      </c>
      <c r="BK29">
        <f t="shared" si="25"/>
        <v>9.2263766400000016</v>
      </c>
      <c r="BL29">
        <f t="shared" si="26"/>
        <v>0.23641976372201171</v>
      </c>
      <c r="BM29">
        <f t="shared" si="27"/>
        <v>0.53044534968411916</v>
      </c>
      <c r="BN29">
        <v>1.5684</v>
      </c>
      <c r="BO29">
        <f t="shared" si="28"/>
        <v>0.49880894090105438</v>
      </c>
      <c r="BQ29">
        <v>2.0979999999999999</v>
      </c>
      <c r="BR29">
        <v>0.75619999999999998</v>
      </c>
      <c r="BS29">
        <f t="shared" si="29"/>
        <v>0.51149239999999996</v>
      </c>
      <c r="BT29">
        <f t="shared" si="30"/>
        <v>1.5865075999999998</v>
      </c>
      <c r="BU29">
        <f t="shared" si="31"/>
        <v>5.1609222466693902E-2</v>
      </c>
      <c r="BV29">
        <f t="shared" si="32"/>
        <v>0.16265578126063265</v>
      </c>
      <c r="BW29">
        <v>1.0095000000000001</v>
      </c>
      <c r="BX29">
        <f t="shared" si="33"/>
        <v>0.92653070900309298</v>
      </c>
      <c r="DD29">
        <v>1.5</v>
      </c>
      <c r="DE29">
        <v>1.5</v>
      </c>
      <c r="DF29">
        <f t="shared" si="44"/>
        <v>5.978896023001324E-2</v>
      </c>
      <c r="DG29">
        <f t="shared" si="45"/>
        <v>0.10057787871292692</v>
      </c>
      <c r="DH29">
        <v>0.89300000000000002</v>
      </c>
      <c r="DJ29">
        <v>2.25</v>
      </c>
      <c r="DK29">
        <v>2.25</v>
      </c>
      <c r="DL29">
        <f t="shared" si="46"/>
        <v>8.7080222368999427E-2</v>
      </c>
      <c r="DM29">
        <f t="shared" si="47"/>
        <v>0.27473691081439794</v>
      </c>
      <c r="DN29">
        <v>0.82099999999999995</v>
      </c>
      <c r="DP29">
        <v>2.5</v>
      </c>
      <c r="DQ29">
        <v>2.5</v>
      </c>
      <c r="DR29">
        <f t="shared" si="48"/>
        <v>0.12747578745310181</v>
      </c>
      <c r="DS29">
        <f t="shared" si="49"/>
        <v>0.29622070518685345</v>
      </c>
      <c r="DT29">
        <v>0.82399999999999995</v>
      </c>
      <c r="DV29">
        <v>0.4</v>
      </c>
      <c r="DW29">
        <v>0.59</v>
      </c>
      <c r="DX29">
        <f t="shared" si="50"/>
        <v>3.6686819178409456E-2</v>
      </c>
      <c r="DY29">
        <f t="shared" si="51"/>
        <v>3.3330381768765661E-2</v>
      </c>
      <c r="DZ29">
        <v>0.95840000000000003</v>
      </c>
      <c r="EB29" s="2">
        <v>2</v>
      </c>
      <c r="EC29" s="2">
        <v>2</v>
      </c>
      <c r="ED29">
        <f t="shared" si="52"/>
        <v>0.15996035012852605</v>
      </c>
      <c r="EE29">
        <f t="shared" si="53"/>
        <v>0.18164260695931128</v>
      </c>
      <c r="EF29" s="2">
        <v>0.60899999999999999</v>
      </c>
    </row>
    <row r="30" spans="6:142" ht="49" customHeight="1" x14ac:dyDescent="0.2">
      <c r="F30">
        <v>4.4088000000000003</v>
      </c>
      <c r="G30">
        <v>0.76429999999999998</v>
      </c>
      <c r="H30">
        <f t="shared" si="0"/>
        <v>1.03915416</v>
      </c>
      <c r="I30">
        <f t="shared" si="1"/>
        <v>3.36964584</v>
      </c>
      <c r="J30">
        <f t="shared" si="2"/>
        <v>5.7251396614960121E-2</v>
      </c>
      <c r="K30">
        <f t="shared" si="3"/>
        <v>0.12499664875758733</v>
      </c>
      <c r="L30">
        <v>1.4313</v>
      </c>
      <c r="M30">
        <f t="shared" si="4"/>
        <v>0.79663570362141078</v>
      </c>
      <c r="O30">
        <v>7.2953000000000001</v>
      </c>
      <c r="P30">
        <v>0.40560000000000002</v>
      </c>
      <c r="Q30">
        <f t="shared" si="5"/>
        <v>4.3363263200000004</v>
      </c>
      <c r="R30">
        <f t="shared" si="6"/>
        <v>2.9589736800000002</v>
      </c>
      <c r="S30">
        <f t="shared" si="7"/>
        <v>0.26930750146290283</v>
      </c>
      <c r="T30">
        <f t="shared" si="8"/>
        <v>0.16944169991770383</v>
      </c>
      <c r="U30">
        <v>1.0305</v>
      </c>
      <c r="V30">
        <f t="shared" si="9"/>
        <v>0.76272086976438347</v>
      </c>
      <c r="X30">
        <v>5.8224</v>
      </c>
      <c r="Y30">
        <v>0.753</v>
      </c>
      <c r="Z30">
        <f t="shared" si="10"/>
        <v>1.4381328</v>
      </c>
      <c r="AA30">
        <f t="shared" si="11"/>
        <v>4.3842672</v>
      </c>
      <c r="AB30">
        <f t="shared" si="12"/>
        <v>0.10552624446827097</v>
      </c>
      <c r="AC30">
        <f t="shared" si="13"/>
        <v>0.22436965385697064</v>
      </c>
      <c r="AD30">
        <v>1.2555000000000001</v>
      </c>
      <c r="AE30">
        <f t="shared" si="14"/>
        <v>0.76845228671802024</v>
      </c>
      <c r="AG30" s="2">
        <v>3</v>
      </c>
      <c r="AH30">
        <v>0.25</v>
      </c>
      <c r="AI30">
        <f t="shared" si="15"/>
        <v>0.11283182307737351</v>
      </c>
      <c r="AJ30">
        <f t="shared" si="16"/>
        <v>4.9481611033617458E-2</v>
      </c>
      <c r="AK30" s="2">
        <v>0.84560000000000002</v>
      </c>
      <c r="AM30">
        <v>0.6</v>
      </c>
      <c r="AN30">
        <v>0.05</v>
      </c>
      <c r="AO30">
        <f t="shared" si="17"/>
        <v>2.4805438933121548E-2</v>
      </c>
      <c r="AP30">
        <f t="shared" si="18"/>
        <v>4.7379945400921643E-3</v>
      </c>
      <c r="AQ30">
        <v>0.97699999999999998</v>
      </c>
      <c r="AS30">
        <v>6</v>
      </c>
      <c r="AT30">
        <v>2</v>
      </c>
      <c r="AU30">
        <f t="shared" si="19"/>
        <v>0.20278324314154425</v>
      </c>
      <c r="AV30">
        <f t="shared" si="20"/>
        <v>0.18164260695931128</v>
      </c>
      <c r="AW30" s="2">
        <v>0.497</v>
      </c>
      <c r="BH30">
        <v>8.1110000000000007</v>
      </c>
      <c r="BI30">
        <v>0.24859999999999999</v>
      </c>
      <c r="BJ30">
        <f t="shared" si="24"/>
        <v>6.0946054000000007</v>
      </c>
      <c r="BK30">
        <f t="shared" si="25"/>
        <v>2.0163945999999999</v>
      </c>
      <c r="BL30">
        <f t="shared" si="26"/>
        <v>0.37975420667735243</v>
      </c>
      <c r="BM30">
        <f t="shared" si="27"/>
        <v>0.19800293416148124</v>
      </c>
      <c r="BN30">
        <v>2.1191</v>
      </c>
      <c r="BO30">
        <f t="shared" si="28"/>
        <v>0.53833376488228524</v>
      </c>
      <c r="BQ30">
        <v>1.3759999999999999</v>
      </c>
      <c r="BR30">
        <v>0.25090000000000001</v>
      </c>
      <c r="BS30">
        <f t="shared" si="29"/>
        <v>1.0307615999999999</v>
      </c>
      <c r="BT30">
        <f t="shared" si="30"/>
        <v>0.3452384</v>
      </c>
      <c r="BU30">
        <f t="shared" si="31"/>
        <v>9.8825277260266395E-2</v>
      </c>
      <c r="BV30">
        <f t="shared" si="32"/>
        <v>4.0556621179995811E-2</v>
      </c>
      <c r="BW30">
        <v>1.0808</v>
      </c>
      <c r="BX30">
        <f t="shared" si="33"/>
        <v>0.94782779278725515</v>
      </c>
      <c r="DD30">
        <v>1.75</v>
      </c>
      <c r="DE30">
        <v>1.75</v>
      </c>
      <c r="DF30">
        <f t="shared" si="44"/>
        <v>6.9065560592428063E-2</v>
      </c>
      <c r="DG30">
        <f t="shared" si="45"/>
        <v>0.11540630494156152</v>
      </c>
      <c r="DH30">
        <v>0.871</v>
      </c>
      <c r="DJ30">
        <v>2.5</v>
      </c>
      <c r="DK30">
        <v>2.5</v>
      </c>
      <c r="DL30">
        <f t="shared" si="46"/>
        <v>9.5828605270415063E-2</v>
      </c>
      <c r="DM30">
        <f t="shared" si="47"/>
        <v>0.29622070518685345</v>
      </c>
      <c r="DN30">
        <v>0.79500000000000004</v>
      </c>
      <c r="DP30">
        <v>3</v>
      </c>
      <c r="DQ30">
        <v>3</v>
      </c>
      <c r="DR30">
        <f t="shared" si="48"/>
        <v>0.14916788619269647</v>
      </c>
      <c r="DS30">
        <f t="shared" si="49"/>
        <v>0.3355834905785739</v>
      </c>
      <c r="DT30">
        <v>0.78300000000000003</v>
      </c>
      <c r="DV30">
        <v>0.5</v>
      </c>
      <c r="DW30">
        <v>0.75</v>
      </c>
      <c r="DX30">
        <f t="shared" si="50"/>
        <v>4.5441745696135467E-2</v>
      </c>
      <c r="DY30">
        <f t="shared" si="51"/>
        <v>4.1989596007012638E-2</v>
      </c>
      <c r="DZ30">
        <v>0.9466</v>
      </c>
      <c r="EB30">
        <v>0.2</v>
      </c>
      <c r="EC30">
        <v>0.1</v>
      </c>
      <c r="ED30">
        <f t="shared" si="52"/>
        <v>1.8686177802288817E-2</v>
      </c>
      <c r="EE30">
        <f t="shared" si="53"/>
        <v>1.0976186284613363E-2</v>
      </c>
      <c r="EF30">
        <v>0.98699999999999999</v>
      </c>
    </row>
    <row r="31" spans="6:142" ht="49" customHeight="1" x14ac:dyDescent="0.2">
      <c r="F31">
        <v>4.6031000000000004</v>
      </c>
      <c r="G31">
        <v>0.53949999999999998</v>
      </c>
      <c r="H31">
        <f t="shared" si="0"/>
        <v>2.1197275500000003</v>
      </c>
      <c r="I31">
        <f t="shared" si="1"/>
        <v>2.4833724500000001</v>
      </c>
      <c r="J31">
        <f t="shared" si="2"/>
        <v>0.11022281928250072</v>
      </c>
      <c r="K31">
        <f t="shared" si="3"/>
        <v>9.5251956894095463E-2</v>
      </c>
      <c r="L31">
        <v>1.3709</v>
      </c>
      <c r="M31">
        <f t="shared" si="4"/>
        <v>0.79663356959924425</v>
      </c>
      <c r="O31">
        <v>8.3102999999999998</v>
      </c>
      <c r="P31">
        <v>0.20399999999999999</v>
      </c>
      <c r="Q31">
        <f t="shared" si="5"/>
        <v>6.6149988000000004</v>
      </c>
      <c r="R31">
        <f t="shared" si="6"/>
        <v>1.6953011999999998</v>
      </c>
      <c r="S31">
        <f t="shared" si="7"/>
        <v>0.3598934201062951</v>
      </c>
      <c r="T31">
        <f t="shared" si="8"/>
        <v>0.10465206035837557</v>
      </c>
      <c r="U31">
        <v>0.90449999999999997</v>
      </c>
      <c r="V31">
        <f t="shared" si="9"/>
        <v>0.76275220640550245</v>
      </c>
      <c r="X31">
        <v>6.0454999999999997</v>
      </c>
      <c r="Y31">
        <v>0.52559999999999996</v>
      </c>
      <c r="Z31">
        <f t="shared" si="10"/>
        <v>2.8679852000000001</v>
      </c>
      <c r="AA31">
        <f t="shared" si="11"/>
        <v>3.1775147999999995</v>
      </c>
      <c r="AB31">
        <f t="shared" si="12"/>
        <v>0.19046189111289832</v>
      </c>
      <c r="AC31">
        <f t="shared" si="13"/>
        <v>0.17331625342158294</v>
      </c>
      <c r="AD31">
        <v>1.2892999999999999</v>
      </c>
      <c r="AE31">
        <f t="shared" si="14"/>
        <v>0.75515598019763985</v>
      </c>
      <c r="AG31" s="2">
        <v>3.6</v>
      </c>
      <c r="AH31">
        <v>0.3</v>
      </c>
      <c r="AI31">
        <f t="shared" si="15"/>
        <v>0.13241017148433518</v>
      </c>
      <c r="AJ31">
        <f t="shared" si="16"/>
        <v>5.8796068402936927E-2</v>
      </c>
      <c r="AK31" s="2">
        <v>0.80279999999999996</v>
      </c>
      <c r="AM31">
        <v>1.2</v>
      </c>
      <c r="AN31">
        <v>0.1</v>
      </c>
      <c r="AO31">
        <f t="shared" si="17"/>
        <v>4.8410045440323513E-2</v>
      </c>
      <c r="AP31">
        <f t="shared" si="18"/>
        <v>9.4313036151497994E-3</v>
      </c>
      <c r="AQ31">
        <v>0.95</v>
      </c>
      <c r="AS31">
        <v>7.5</v>
      </c>
      <c r="AT31">
        <v>2.5</v>
      </c>
      <c r="AU31">
        <f t="shared" si="19"/>
        <v>0.24124875280263741</v>
      </c>
      <c r="AV31">
        <f t="shared" si="20"/>
        <v>0.21719049669262988</v>
      </c>
      <c r="AW31" s="2">
        <v>0.3891</v>
      </c>
      <c r="BH31">
        <v>9.4192</v>
      </c>
      <c r="BI31">
        <v>0.50070000000000003</v>
      </c>
      <c r="BJ31">
        <f t="shared" si="24"/>
        <v>4.7030065599999995</v>
      </c>
      <c r="BK31">
        <f t="shared" si="25"/>
        <v>4.7161934400000005</v>
      </c>
      <c r="BL31">
        <f t="shared" si="26"/>
        <v>0.320866266678281</v>
      </c>
      <c r="BM31">
        <f t="shared" si="27"/>
        <v>0.36606577671017648</v>
      </c>
      <c r="BN31">
        <v>1.8248</v>
      </c>
      <c r="BO31">
        <f t="shared" si="28"/>
        <v>0.53833112587985266</v>
      </c>
      <c r="BQ31">
        <v>1.4408000000000001</v>
      </c>
      <c r="BR31">
        <v>0.49819999999999998</v>
      </c>
      <c r="BS31">
        <f t="shared" si="29"/>
        <v>0.7229934400000001</v>
      </c>
      <c r="BT31">
        <f t="shared" si="30"/>
        <v>0.71780655999999998</v>
      </c>
      <c r="BU31">
        <f t="shared" si="31"/>
        <v>7.1425290711829417E-2</v>
      </c>
      <c r="BV31">
        <f t="shared" si="32"/>
        <v>8.0787926886372985E-2</v>
      </c>
      <c r="BW31">
        <v>1.0322</v>
      </c>
      <c r="BX31">
        <f t="shared" si="33"/>
        <v>0.94782735020590669</v>
      </c>
      <c r="DD31">
        <v>2</v>
      </c>
      <c r="DE31">
        <v>2</v>
      </c>
      <c r="DF31">
        <f t="shared" si="44"/>
        <v>7.8160894110185578E-2</v>
      </c>
      <c r="DG31">
        <f t="shared" si="45"/>
        <v>0.12975372030284568</v>
      </c>
      <c r="DH31">
        <v>0.84699999999999998</v>
      </c>
      <c r="DJ31">
        <v>3</v>
      </c>
      <c r="DK31">
        <v>3</v>
      </c>
      <c r="DL31">
        <f t="shared" si="46"/>
        <v>0.11283182307737351</v>
      </c>
      <c r="DM31">
        <f t="shared" si="47"/>
        <v>0.3355834905785739</v>
      </c>
      <c r="DN31">
        <v>0.74199999999999999</v>
      </c>
      <c r="DP31">
        <v>3.5</v>
      </c>
      <c r="DQ31">
        <v>3.5</v>
      </c>
      <c r="DR31">
        <f t="shared" si="48"/>
        <v>0.16980756139273084</v>
      </c>
      <c r="DS31">
        <f t="shared" si="49"/>
        <v>0.37077633615645023</v>
      </c>
      <c r="DT31">
        <v>0.74199999999999999</v>
      </c>
      <c r="DV31">
        <v>0.6</v>
      </c>
      <c r="DW31">
        <v>0.89</v>
      </c>
      <c r="DX31">
        <f t="shared" si="50"/>
        <v>5.403896981059967E-2</v>
      </c>
      <c r="DY31">
        <f t="shared" si="51"/>
        <v>4.9440139253217358E-2</v>
      </c>
      <c r="DZ31">
        <v>0.9335</v>
      </c>
      <c r="EB31">
        <v>0.4</v>
      </c>
      <c r="EC31">
        <v>0.2</v>
      </c>
      <c r="ED31">
        <f t="shared" si="52"/>
        <v>3.6686819178409456E-2</v>
      </c>
      <c r="EE31">
        <f t="shared" si="53"/>
        <v>2.1714035273078747E-2</v>
      </c>
      <c r="EF31">
        <v>0.96799999999999997</v>
      </c>
    </row>
    <row r="32" spans="6:142" ht="49" customHeight="1" x14ac:dyDescent="0.2">
      <c r="F32">
        <v>4.7945000000000002</v>
      </c>
      <c r="G32">
        <v>0.35139999999999999</v>
      </c>
      <c r="H32">
        <f t="shared" si="0"/>
        <v>3.1097127000000007</v>
      </c>
      <c r="I32">
        <f t="shared" si="1"/>
        <v>1.6847873</v>
      </c>
      <c r="J32">
        <f t="shared" si="2"/>
        <v>0.1537841660671907</v>
      </c>
      <c r="K32">
        <f t="shared" si="3"/>
        <v>6.6663444735789709E-2</v>
      </c>
      <c r="L32">
        <v>1.3163</v>
      </c>
      <c r="M32">
        <f t="shared" si="4"/>
        <v>0.79661604528858254</v>
      </c>
      <c r="AG32" s="2">
        <v>4.2</v>
      </c>
      <c r="AH32">
        <v>0.35</v>
      </c>
      <c r="AI32">
        <f t="shared" si="15"/>
        <v>0.15114305378663201</v>
      </c>
      <c r="AJ32">
        <f t="shared" si="16"/>
        <v>6.7929746136685315E-2</v>
      </c>
      <c r="AK32" s="2">
        <v>0.75590000000000002</v>
      </c>
      <c r="AM32">
        <v>1.8</v>
      </c>
      <c r="AN32">
        <v>0.15</v>
      </c>
      <c r="AO32">
        <f t="shared" si="17"/>
        <v>7.0898957288481793E-2</v>
      </c>
      <c r="AP32">
        <f t="shared" si="18"/>
        <v>1.4080556421384532E-2</v>
      </c>
      <c r="AQ32">
        <v>0.91800000000000004</v>
      </c>
      <c r="AS32">
        <v>9</v>
      </c>
      <c r="AT32">
        <v>3</v>
      </c>
      <c r="AU32">
        <f t="shared" si="19"/>
        <v>0.27617321464504258</v>
      </c>
      <c r="AV32">
        <f t="shared" si="20"/>
        <v>0.24977868471199005</v>
      </c>
      <c r="AW32" s="2">
        <v>0.307</v>
      </c>
      <c r="BH32">
        <v>11.258800000000001</v>
      </c>
      <c r="BI32">
        <v>0.74960000000000004</v>
      </c>
      <c r="BJ32">
        <f t="shared" si="24"/>
        <v>2.8192035199999999</v>
      </c>
      <c r="BK32">
        <f t="shared" si="25"/>
        <v>8.4395964800000005</v>
      </c>
      <c r="BL32">
        <f t="shared" si="26"/>
        <v>0.22070869124351472</v>
      </c>
      <c r="BM32">
        <f t="shared" si="27"/>
        <v>0.50819934793278165</v>
      </c>
      <c r="BN32">
        <v>1.5266</v>
      </c>
      <c r="BO32">
        <f t="shared" si="28"/>
        <v>0.53834028233883979</v>
      </c>
      <c r="BQ32">
        <v>1.5206</v>
      </c>
      <c r="BR32">
        <v>0.75619999999999998</v>
      </c>
      <c r="BS32">
        <f t="shared" si="29"/>
        <v>0.37072228000000002</v>
      </c>
      <c r="BT32">
        <f t="shared" si="30"/>
        <v>1.1498777199999999</v>
      </c>
      <c r="BU32">
        <f t="shared" si="31"/>
        <v>3.7944566290071195E-2</v>
      </c>
      <c r="BV32">
        <f t="shared" si="32"/>
        <v>0.12341526587835182</v>
      </c>
      <c r="BW32">
        <v>0.97799999999999998</v>
      </c>
      <c r="BX32">
        <f t="shared" si="33"/>
        <v>0.9478289538812813</v>
      </c>
      <c r="DD32">
        <v>2.25</v>
      </c>
      <c r="DE32">
        <v>2.25</v>
      </c>
      <c r="DF32">
        <f t="shared" si="44"/>
        <v>8.7080222368999427E-2</v>
      </c>
      <c r="DG32">
        <f t="shared" si="45"/>
        <v>0.14364315610314818</v>
      </c>
      <c r="DH32">
        <v>0.82899999999999996</v>
      </c>
      <c r="DJ32">
        <v>3.5</v>
      </c>
      <c r="DK32">
        <v>3.5</v>
      </c>
      <c r="DL32">
        <f t="shared" si="46"/>
        <v>0.12920734356863023</v>
      </c>
      <c r="DM32">
        <f t="shared" si="47"/>
        <v>0.37077633615645023</v>
      </c>
      <c r="DN32">
        <v>0.69599999999999995</v>
      </c>
      <c r="DP32">
        <v>4</v>
      </c>
      <c r="DQ32">
        <v>4</v>
      </c>
      <c r="DR32">
        <f t="shared" si="48"/>
        <v>0.1894695888989755</v>
      </c>
      <c r="DS32">
        <f t="shared" si="49"/>
        <v>0.40242853045224208</v>
      </c>
      <c r="DT32">
        <v>0.70199999999999996</v>
      </c>
      <c r="DV32">
        <v>0.7</v>
      </c>
      <c r="DW32">
        <v>1.04</v>
      </c>
      <c r="DX32">
        <f t="shared" si="50"/>
        <v>6.2482714525049048E-2</v>
      </c>
      <c r="DY32">
        <f t="shared" si="51"/>
        <v>5.7295327503144866E-2</v>
      </c>
      <c r="DZ32">
        <v>0.92030000000000001</v>
      </c>
      <c r="EB32">
        <v>0.6</v>
      </c>
      <c r="EC32">
        <v>0.3</v>
      </c>
      <c r="ED32">
        <f t="shared" si="52"/>
        <v>5.403896981059967E-2</v>
      </c>
      <c r="EE32">
        <f t="shared" si="53"/>
        <v>3.2221226485395257E-2</v>
      </c>
      <c r="EF32">
        <v>0.95</v>
      </c>
    </row>
    <row r="33" spans="6:136" ht="49" customHeight="1" x14ac:dyDescent="0.2">
      <c r="F33">
        <v>5.0083000000000002</v>
      </c>
      <c r="G33">
        <v>0.1636</v>
      </c>
      <c r="H33">
        <f t="shared" si="0"/>
        <v>4.1889421200000001</v>
      </c>
      <c r="I33">
        <f t="shared" si="1"/>
        <v>0.81935787999999998</v>
      </c>
      <c r="J33">
        <f t="shared" si="2"/>
        <v>0.1966592448043126</v>
      </c>
      <c r="K33">
        <f t="shared" si="3"/>
        <v>3.3569782758900338E-2</v>
      </c>
      <c r="L33">
        <v>1.2601</v>
      </c>
      <c r="M33">
        <f t="shared" si="4"/>
        <v>0.79661723698459919</v>
      </c>
      <c r="AG33" s="2">
        <v>4.5599999999999996</v>
      </c>
      <c r="AH33">
        <v>0.38</v>
      </c>
      <c r="AI33">
        <f t="shared" si="15"/>
        <v>0.16199945053979972</v>
      </c>
      <c r="AJ33">
        <f t="shared" si="16"/>
        <v>7.3325355282425411E-2</v>
      </c>
      <c r="AK33" s="2">
        <v>0.72589999999999999</v>
      </c>
      <c r="AM33">
        <v>2.4</v>
      </c>
      <c r="AN33">
        <v>0.2</v>
      </c>
      <c r="AO33">
        <f t="shared" si="17"/>
        <v>9.2349449818542498E-2</v>
      </c>
      <c r="AP33">
        <f t="shared" si="18"/>
        <v>1.868637039761455E-2</v>
      </c>
      <c r="AQ33">
        <v>0.88300000000000001</v>
      </c>
      <c r="AS33">
        <v>0.19</v>
      </c>
      <c r="AT33">
        <v>0.01</v>
      </c>
      <c r="AU33">
        <f t="shared" si="19"/>
        <v>7.990497660018225E-3</v>
      </c>
      <c r="AV33">
        <f t="shared" si="20"/>
        <v>1.1085697093365784E-3</v>
      </c>
      <c r="AW33">
        <v>0.99299999999999999</v>
      </c>
      <c r="BH33">
        <v>7.1348000000000003</v>
      </c>
      <c r="BI33">
        <v>0.24859999999999999</v>
      </c>
      <c r="BJ33">
        <f t="shared" si="24"/>
        <v>5.3610887200000006</v>
      </c>
      <c r="BK33">
        <f t="shared" si="25"/>
        <v>1.7737112799999999</v>
      </c>
      <c r="BL33">
        <f t="shared" si="26"/>
        <v>0.35004792247929606</v>
      </c>
      <c r="BM33">
        <f t="shared" si="27"/>
        <v>0.17842424356320033</v>
      </c>
      <c r="BN33">
        <v>1.958</v>
      </c>
      <c r="BO33">
        <f t="shared" si="28"/>
        <v>0.60451396139477109</v>
      </c>
      <c r="BQ33">
        <v>1.0452999999999999</v>
      </c>
      <c r="BR33">
        <v>0.25090000000000001</v>
      </c>
      <c r="BS33">
        <f t="shared" si="29"/>
        <v>0.78303422999999994</v>
      </c>
      <c r="BT33">
        <f t="shared" si="30"/>
        <v>0.26226577000000001</v>
      </c>
      <c r="BU33">
        <f t="shared" si="31"/>
        <v>7.6900648502851429E-2</v>
      </c>
      <c r="BV33">
        <f t="shared" si="32"/>
        <v>3.1112734327040384E-2</v>
      </c>
      <c r="BW33">
        <v>1.0398000000000001</v>
      </c>
      <c r="BX33">
        <f t="shared" si="33"/>
        <v>0.96159624751218309</v>
      </c>
      <c r="DD33">
        <v>2.5</v>
      </c>
      <c r="DE33">
        <v>2.5</v>
      </c>
      <c r="DF33">
        <f t="shared" si="44"/>
        <v>9.5828605270415063E-2</v>
      </c>
      <c r="DG33">
        <f t="shared" si="45"/>
        <v>0.15709619639658623</v>
      </c>
      <c r="DH33">
        <v>0.80200000000000005</v>
      </c>
      <c r="DJ33">
        <v>4</v>
      </c>
      <c r="DK33">
        <v>4</v>
      </c>
      <c r="DL33">
        <f t="shared" si="46"/>
        <v>0.14498929526597673</v>
      </c>
      <c r="DM33">
        <f t="shared" si="47"/>
        <v>0.40242853045224208</v>
      </c>
      <c r="DN33">
        <v>0.64700000000000002</v>
      </c>
      <c r="DP33">
        <v>0.1</v>
      </c>
      <c r="DQ33">
        <v>0.2</v>
      </c>
      <c r="DR33">
        <f t="shared" si="48"/>
        <v>5.8100460906462641E-3</v>
      </c>
      <c r="DS33">
        <f t="shared" si="49"/>
        <v>3.2575130215387472E-2</v>
      </c>
      <c r="DT33" s="2">
        <v>0.99</v>
      </c>
      <c r="DV33">
        <v>0.8</v>
      </c>
      <c r="DW33">
        <v>1.19</v>
      </c>
      <c r="DX33">
        <f t="shared" si="50"/>
        <v>7.0777053396867406E-2</v>
      </c>
      <c r="DY33">
        <f t="shared" si="51"/>
        <v>6.5021753203889948E-2</v>
      </c>
      <c r="DZ33">
        <v>0.90600000000000003</v>
      </c>
      <c r="EB33">
        <v>0.67</v>
      </c>
      <c r="EC33">
        <v>0.33</v>
      </c>
      <c r="ED33">
        <f t="shared" si="52"/>
        <v>5.9965461250977278E-2</v>
      </c>
      <c r="EE33">
        <f t="shared" si="53"/>
        <v>3.5329513109582517E-2</v>
      </c>
      <c r="EF33">
        <v>0.94299999999999995</v>
      </c>
    </row>
    <row r="34" spans="6:136" ht="49" customHeight="1" x14ac:dyDescent="0.2">
      <c r="F34">
        <v>4.9598000000000004</v>
      </c>
      <c r="G34">
        <v>0.77549999999999997</v>
      </c>
      <c r="H34">
        <f t="shared" si="0"/>
        <v>1.1134751000000003</v>
      </c>
      <c r="I34">
        <f t="shared" si="1"/>
        <v>3.8463249000000004</v>
      </c>
      <c r="J34">
        <f t="shared" si="2"/>
        <v>6.1095884895961683E-2</v>
      </c>
      <c r="K34">
        <f t="shared" si="3"/>
        <v>0.14019994144551287</v>
      </c>
      <c r="L34">
        <v>1.5177</v>
      </c>
      <c r="M34">
        <f t="shared" si="4"/>
        <v>0.76245485532667479</v>
      </c>
      <c r="AM34">
        <v>3</v>
      </c>
      <c r="AN34">
        <v>0.25</v>
      </c>
      <c r="AO34">
        <f t="shared" si="17"/>
        <v>0.11283182307737351</v>
      </c>
      <c r="AP34">
        <f t="shared" si="18"/>
        <v>2.3249351498616313E-2</v>
      </c>
      <c r="AQ34">
        <v>0.84399999999999997</v>
      </c>
      <c r="AS34">
        <v>0.28000000000000003</v>
      </c>
      <c r="AT34">
        <v>0.02</v>
      </c>
      <c r="AU34">
        <f t="shared" si="19"/>
        <v>1.1731068463397564E-2</v>
      </c>
      <c r="AV34">
        <f t="shared" si="20"/>
        <v>2.2146842867571139E-3</v>
      </c>
      <c r="AW34">
        <v>0.98899999999999999</v>
      </c>
      <c r="BH34">
        <v>8.1760000000000002</v>
      </c>
      <c r="BI34">
        <v>0.50070000000000003</v>
      </c>
      <c r="BJ34">
        <f t="shared" si="24"/>
        <v>4.0822767999999998</v>
      </c>
      <c r="BK34">
        <f t="shared" si="25"/>
        <v>4.0937232000000003</v>
      </c>
      <c r="BL34">
        <f t="shared" si="26"/>
        <v>0.29083321735863721</v>
      </c>
      <c r="BM34">
        <f t="shared" si="27"/>
        <v>0.33388197860310598</v>
      </c>
      <c r="BN34">
        <v>1.7085999999999999</v>
      </c>
      <c r="BO34">
        <f t="shared" si="28"/>
        <v>0.60452321376356943</v>
      </c>
      <c r="BQ34">
        <v>1.0858000000000001</v>
      </c>
      <c r="BR34">
        <v>0.49819999999999998</v>
      </c>
      <c r="BS34">
        <f t="shared" si="29"/>
        <v>0.54485444000000005</v>
      </c>
      <c r="BT34">
        <f t="shared" si="30"/>
        <v>0.54094556000000005</v>
      </c>
      <c r="BU34">
        <f t="shared" si="31"/>
        <v>5.4790990996894745E-2</v>
      </c>
      <c r="BV34">
        <f t="shared" si="32"/>
        <v>6.2119021931534089E-2</v>
      </c>
      <c r="BW34">
        <v>1.0009999999999999</v>
      </c>
      <c r="BX34">
        <f t="shared" si="33"/>
        <v>0.96159684134265588</v>
      </c>
      <c r="DD34">
        <v>2.75</v>
      </c>
      <c r="DE34">
        <v>2.75</v>
      </c>
      <c r="DF34">
        <f t="shared" si="44"/>
        <v>0.10441091060364049</v>
      </c>
      <c r="DG34">
        <f t="shared" si="45"/>
        <v>0.17013308990570636</v>
      </c>
      <c r="DH34">
        <v>0.78500000000000003</v>
      </c>
      <c r="DJ34">
        <v>4.5</v>
      </c>
      <c r="DK34">
        <v>4.5</v>
      </c>
      <c r="DL34">
        <f t="shared" si="46"/>
        <v>0.16020937659822651</v>
      </c>
      <c r="DM34">
        <f t="shared" si="47"/>
        <v>0.43104880463353851</v>
      </c>
      <c r="DN34">
        <v>0.59699999999999998</v>
      </c>
      <c r="DP34">
        <v>0.2</v>
      </c>
      <c r="DQ34">
        <v>0.4</v>
      </c>
      <c r="DR34">
        <f t="shared" si="48"/>
        <v>1.1552968899502615E-2</v>
      </c>
      <c r="DS34">
        <f t="shared" si="49"/>
        <v>6.3094934716455053E-2</v>
      </c>
      <c r="DT34" s="2">
        <v>0.98099999999999998</v>
      </c>
      <c r="DV34">
        <v>0.89</v>
      </c>
      <c r="DW34">
        <v>1.32</v>
      </c>
      <c r="DX34">
        <f t="shared" si="50"/>
        <v>7.8117467931624704E-2</v>
      </c>
      <c r="DY34">
        <f t="shared" si="51"/>
        <v>7.1616264094721868E-2</v>
      </c>
      <c r="DZ34">
        <v>0.89159999999999995</v>
      </c>
      <c r="EB34">
        <v>0.8</v>
      </c>
      <c r="EC34">
        <v>0.4</v>
      </c>
      <c r="ED34">
        <f t="shared" si="52"/>
        <v>7.0777053396867406E-2</v>
      </c>
      <c r="EE34">
        <f t="shared" si="53"/>
        <v>4.2505113022696467E-2</v>
      </c>
      <c r="EF34">
        <v>0.92800000000000005</v>
      </c>
    </row>
    <row r="35" spans="6:136" ht="49" customHeight="1" x14ac:dyDescent="0.2">
      <c r="F35">
        <v>5.1864999999999997</v>
      </c>
      <c r="G35">
        <v>0.55900000000000005</v>
      </c>
      <c r="H35">
        <f t="shared" si="0"/>
        <v>2.2872464999999997</v>
      </c>
      <c r="I35">
        <f t="shared" si="1"/>
        <v>2.8992534999999999</v>
      </c>
      <c r="J35">
        <f t="shared" si="2"/>
        <v>0.11790651271168209</v>
      </c>
      <c r="K35">
        <f t="shared" si="3"/>
        <v>0.10945743521681042</v>
      </c>
      <c r="L35">
        <v>1.4513</v>
      </c>
      <c r="M35">
        <f t="shared" si="4"/>
        <v>0.76246367381157909</v>
      </c>
      <c r="AM35">
        <v>3.6</v>
      </c>
      <c r="AN35">
        <v>0.3</v>
      </c>
      <c r="AO35">
        <f t="shared" si="17"/>
        <v>0.13241017148433518</v>
      </c>
      <c r="AP35">
        <f t="shared" si="18"/>
        <v>2.7770094460885391E-2</v>
      </c>
      <c r="AQ35">
        <v>0.80400000000000005</v>
      </c>
      <c r="AS35">
        <v>0.46</v>
      </c>
      <c r="AT35">
        <v>0.04</v>
      </c>
      <c r="AU35">
        <f t="shared" si="19"/>
        <v>1.9128216067692081E-2</v>
      </c>
      <c r="AV35">
        <f t="shared" si="20"/>
        <v>4.4195805978102017E-3</v>
      </c>
      <c r="AW35">
        <v>0.98299999999999998</v>
      </c>
      <c r="BH35">
        <v>9.6088000000000005</v>
      </c>
      <c r="BI35">
        <v>0.74960000000000004</v>
      </c>
      <c r="BJ35">
        <f t="shared" si="24"/>
        <v>2.4060435199999999</v>
      </c>
      <c r="BK35">
        <f t="shared" si="25"/>
        <v>7.2027564800000006</v>
      </c>
      <c r="BL35">
        <f t="shared" si="26"/>
        <v>0.19465971254211362</v>
      </c>
      <c r="BM35">
        <f t="shared" si="27"/>
        <v>0.46862369115379643</v>
      </c>
      <c r="BN35">
        <v>1.4539</v>
      </c>
      <c r="BO35">
        <f t="shared" si="28"/>
        <v>0.60450751618425691</v>
      </c>
      <c r="BQ35">
        <v>1.1337999999999999</v>
      </c>
      <c r="BR35">
        <v>0.75619999999999998</v>
      </c>
      <c r="BS35">
        <f t="shared" si="29"/>
        <v>0.27642043999999999</v>
      </c>
      <c r="BT35">
        <f t="shared" si="30"/>
        <v>0.85737955999999993</v>
      </c>
      <c r="BU35">
        <f t="shared" si="31"/>
        <v>2.8568225644141278E-2</v>
      </c>
      <c r="BV35">
        <f t="shared" si="32"/>
        <v>9.5004240593284356E-2</v>
      </c>
      <c r="BW35">
        <v>0.95860000000000001</v>
      </c>
      <c r="BX35">
        <f t="shared" si="33"/>
        <v>0.96159771164795527</v>
      </c>
      <c r="DD35">
        <v>3</v>
      </c>
      <c r="DE35">
        <v>3</v>
      </c>
      <c r="DF35">
        <f t="shared" si="44"/>
        <v>0.11283182307737351</v>
      </c>
      <c r="DG35">
        <f t="shared" si="45"/>
        <v>0.18277285171413393</v>
      </c>
      <c r="DH35">
        <v>0.752</v>
      </c>
      <c r="DJ35">
        <v>0.1</v>
      </c>
      <c r="DK35">
        <v>0.2</v>
      </c>
      <c r="DL35">
        <f t="shared" si="46"/>
        <v>4.2215033586612914E-3</v>
      </c>
      <c r="DM35">
        <f t="shared" si="47"/>
        <v>3.2575130215387472E-2</v>
      </c>
      <c r="DN35">
        <v>0.99</v>
      </c>
      <c r="DP35">
        <v>0.3</v>
      </c>
      <c r="DQ35">
        <v>0.6</v>
      </c>
      <c r="DR35">
        <f t="shared" si="48"/>
        <v>1.7229924955677066E-2</v>
      </c>
      <c r="DS35">
        <f t="shared" si="49"/>
        <v>9.1747985497031836E-2</v>
      </c>
      <c r="DT35" s="2">
        <v>0.97199999999999998</v>
      </c>
      <c r="DV35">
        <v>1</v>
      </c>
      <c r="DW35">
        <v>1.49</v>
      </c>
      <c r="DX35">
        <f t="shared" si="50"/>
        <v>8.6933099588206816E-2</v>
      </c>
      <c r="DY35">
        <f t="shared" si="51"/>
        <v>8.0100776799700055E-2</v>
      </c>
      <c r="DZ35">
        <v>0.874</v>
      </c>
      <c r="EB35">
        <v>1</v>
      </c>
      <c r="EC35">
        <v>0.5</v>
      </c>
      <c r="ED35">
        <f t="shared" si="52"/>
        <v>8.6933099588206816E-2</v>
      </c>
      <c r="EE35">
        <f t="shared" si="53"/>
        <v>5.257273872798416E-2</v>
      </c>
      <c r="EF35">
        <v>0.90200000000000002</v>
      </c>
    </row>
    <row r="36" spans="6:136" ht="49" customHeight="1" x14ac:dyDescent="0.2">
      <c r="F36">
        <v>5.4188000000000001</v>
      </c>
      <c r="G36">
        <v>0.3609</v>
      </c>
      <c r="H36">
        <f t="shared" si="0"/>
        <v>3.4631550799999999</v>
      </c>
      <c r="I36">
        <f t="shared" si="1"/>
        <v>1.9556449200000001</v>
      </c>
      <c r="J36">
        <f t="shared" si="2"/>
        <v>0.16832086459836479</v>
      </c>
      <c r="K36">
        <f t="shared" si="3"/>
        <v>7.6560188437443735E-2</v>
      </c>
      <c r="L36">
        <v>1.389</v>
      </c>
      <c r="M36">
        <f t="shared" si="4"/>
        <v>0.76247615271477098</v>
      </c>
      <c r="AM36">
        <v>4.2</v>
      </c>
      <c r="AN36">
        <v>0.35</v>
      </c>
      <c r="AO36">
        <f t="shared" si="17"/>
        <v>0.15114305378663201</v>
      </c>
      <c r="AP36">
        <f t="shared" si="18"/>
        <v>3.2249183061050998E-2</v>
      </c>
      <c r="AQ36">
        <v>0.76400000000000001</v>
      </c>
      <c r="AS36">
        <v>0.92</v>
      </c>
      <c r="AT36">
        <v>0.08</v>
      </c>
      <c r="AU36">
        <f t="shared" si="19"/>
        <v>3.7538389706249793E-2</v>
      </c>
      <c r="AV36">
        <f t="shared" si="20"/>
        <v>8.8002677032237003E-3</v>
      </c>
      <c r="AW36">
        <v>0.96399999999999997</v>
      </c>
      <c r="BH36">
        <v>6.3551000000000002</v>
      </c>
      <c r="BI36">
        <v>0.24859999999999999</v>
      </c>
      <c r="BJ36">
        <f t="shared" si="24"/>
        <v>4.7752221400000003</v>
      </c>
      <c r="BK36">
        <f t="shared" si="25"/>
        <v>1.5798778600000001</v>
      </c>
      <c r="BL36">
        <f t="shared" si="26"/>
        <v>0.32419592894101462</v>
      </c>
      <c r="BM36">
        <f t="shared" si="27"/>
        <v>0.16208624265849506</v>
      </c>
      <c r="BN36">
        <v>1.83</v>
      </c>
      <c r="BO36">
        <f t="shared" si="28"/>
        <v>0.65769263133967115</v>
      </c>
      <c r="BQ36">
        <v>0.77359999999999995</v>
      </c>
      <c r="BR36">
        <v>0.25090000000000001</v>
      </c>
      <c r="BS36">
        <f t="shared" si="29"/>
        <v>0.57950375999999992</v>
      </c>
      <c r="BT36">
        <f t="shared" si="30"/>
        <v>0.19409624</v>
      </c>
      <c r="BU36">
        <f t="shared" si="31"/>
        <v>5.8073006439297262E-2</v>
      </c>
      <c r="BV36">
        <f t="shared" si="32"/>
        <v>2.3213472126465681E-2</v>
      </c>
      <c r="BW36">
        <v>1.0072000000000001</v>
      </c>
      <c r="BX36">
        <f t="shared" si="33"/>
        <v>0.97231725174400607</v>
      </c>
      <c r="DD36">
        <v>0.2</v>
      </c>
      <c r="DE36">
        <v>0.1</v>
      </c>
      <c r="DF36">
        <f t="shared" si="44"/>
        <v>8.4075143671835245E-3</v>
      </c>
      <c r="DG36">
        <f t="shared" si="45"/>
        <v>7.3998342357723176E-3</v>
      </c>
      <c r="DH36" s="2">
        <v>0.99</v>
      </c>
      <c r="DJ36">
        <v>0.2</v>
      </c>
      <c r="DK36">
        <v>0.4</v>
      </c>
      <c r="DL36">
        <f t="shared" si="46"/>
        <v>8.4075143671835245E-3</v>
      </c>
      <c r="DM36">
        <f t="shared" si="47"/>
        <v>6.3094934716455053E-2</v>
      </c>
      <c r="DN36">
        <v>0.98099999999999998</v>
      </c>
      <c r="DP36">
        <v>0.5</v>
      </c>
      <c r="DQ36">
        <v>1</v>
      </c>
      <c r="DR36">
        <f t="shared" si="48"/>
        <v>2.8390431588970286E-2</v>
      </c>
      <c r="DS36">
        <f t="shared" si="49"/>
        <v>0.14409942141120888</v>
      </c>
      <c r="DT36" s="2">
        <v>0.95299999999999996</v>
      </c>
      <c r="DV36">
        <v>1.1100000000000001</v>
      </c>
      <c r="DW36">
        <v>1.63</v>
      </c>
      <c r="DX36">
        <f t="shared" si="50"/>
        <v>9.5581726807617839E-2</v>
      </c>
      <c r="DY36">
        <f t="shared" si="51"/>
        <v>8.6972448115383294E-2</v>
      </c>
      <c r="DZ36">
        <v>0.85740000000000005</v>
      </c>
      <c r="EB36">
        <v>1.2</v>
      </c>
      <c r="EC36">
        <v>0.6</v>
      </c>
      <c r="ED36">
        <f t="shared" si="52"/>
        <v>0.10253694855382801</v>
      </c>
      <c r="EE36">
        <f t="shared" si="53"/>
        <v>6.2430854275502823E-2</v>
      </c>
      <c r="EF36">
        <v>0.875</v>
      </c>
    </row>
    <row r="37" spans="6:136" ht="49" customHeight="1" x14ac:dyDescent="0.2">
      <c r="F37">
        <v>5.6776999999999997</v>
      </c>
      <c r="G37">
        <v>0.17399999999999999</v>
      </c>
      <c r="H37">
        <f t="shared" si="0"/>
        <v>4.6897802000000004</v>
      </c>
      <c r="I37">
        <f t="shared" si="1"/>
        <v>0.9879197999999999</v>
      </c>
      <c r="J37">
        <f t="shared" si="2"/>
        <v>0.21511423430490154</v>
      </c>
      <c r="K37">
        <f t="shared" si="3"/>
        <v>4.0198292269693854E-2</v>
      </c>
      <c r="L37">
        <v>1.3257000000000001</v>
      </c>
      <c r="M37">
        <f t="shared" si="4"/>
        <v>0.76247028231657776</v>
      </c>
      <c r="AM37">
        <v>5.4</v>
      </c>
      <c r="AN37">
        <v>0.45</v>
      </c>
      <c r="AO37">
        <f t="shared" si="17"/>
        <v>0.18628241403317819</v>
      </c>
      <c r="AP37">
        <f t="shared" si="18"/>
        <v>4.1084678983198793E-2</v>
      </c>
      <c r="AQ37">
        <v>0.68</v>
      </c>
      <c r="AS37">
        <v>1.39</v>
      </c>
      <c r="AT37">
        <v>0.11</v>
      </c>
      <c r="AU37">
        <f t="shared" si="19"/>
        <v>5.5648428335510668E-2</v>
      </c>
      <c r="AV37">
        <f t="shared" si="20"/>
        <v>1.2060567010054654E-2</v>
      </c>
      <c r="AW37">
        <v>0.94099999999999995</v>
      </c>
      <c r="BH37">
        <v>7.2034000000000002</v>
      </c>
      <c r="BI37">
        <v>0.50070000000000003</v>
      </c>
      <c r="BJ37">
        <f t="shared" si="24"/>
        <v>3.5966576199999998</v>
      </c>
      <c r="BK37">
        <f t="shared" si="25"/>
        <v>3.6067423800000005</v>
      </c>
      <c r="BL37">
        <f t="shared" si="26"/>
        <v>0.26541897931218156</v>
      </c>
      <c r="BM37">
        <f t="shared" si="27"/>
        <v>0.30633089312379769</v>
      </c>
      <c r="BN37">
        <v>1.6145</v>
      </c>
      <c r="BO37">
        <f t="shared" si="28"/>
        <v>0.65769129723563269</v>
      </c>
      <c r="BQ37">
        <v>0.7974</v>
      </c>
      <c r="BR37">
        <v>0.49819999999999998</v>
      </c>
      <c r="BS37">
        <f t="shared" si="29"/>
        <v>0.40013532000000002</v>
      </c>
      <c r="BT37">
        <f t="shared" si="30"/>
        <v>0.39726467999999998</v>
      </c>
      <c r="BU37">
        <f t="shared" si="31"/>
        <v>4.0832155631656569E-2</v>
      </c>
      <c r="BV37">
        <f t="shared" si="32"/>
        <v>4.6384876582425433E-2</v>
      </c>
      <c r="BW37">
        <v>0.97719999999999996</v>
      </c>
      <c r="BX37">
        <f t="shared" si="33"/>
        <v>0.97231552255874687</v>
      </c>
      <c r="DD37">
        <v>0.67</v>
      </c>
      <c r="DE37">
        <v>0.13</v>
      </c>
      <c r="DF37">
        <f t="shared" si="44"/>
        <v>2.7619476929678942E-2</v>
      </c>
      <c r="DG37">
        <f t="shared" si="45"/>
        <v>9.5984763662960403E-3</v>
      </c>
      <c r="DH37" s="2">
        <v>0.98599999999999999</v>
      </c>
      <c r="DJ37">
        <v>0.3</v>
      </c>
      <c r="DK37">
        <v>0.6</v>
      </c>
      <c r="DL37">
        <f t="shared" si="46"/>
        <v>1.2558478755491905E-2</v>
      </c>
      <c r="DM37">
        <f t="shared" si="47"/>
        <v>9.1747985497031836E-2</v>
      </c>
      <c r="DN37">
        <v>0.97</v>
      </c>
      <c r="DP37">
        <v>0.67</v>
      </c>
      <c r="DQ37">
        <v>1.33</v>
      </c>
      <c r="DR37">
        <f t="shared" si="48"/>
        <v>3.7679467967621387E-2</v>
      </c>
      <c r="DS37">
        <f t="shared" si="49"/>
        <v>0.18295233311229472</v>
      </c>
      <c r="DT37" s="2">
        <v>0.93600000000000005</v>
      </c>
      <c r="DV37">
        <v>1.21</v>
      </c>
      <c r="DW37">
        <v>1.78</v>
      </c>
      <c r="DX37">
        <f t="shared" si="50"/>
        <v>0.10330315320756084</v>
      </c>
      <c r="DY37">
        <f t="shared" si="51"/>
        <v>9.4221933017349629E-2</v>
      </c>
      <c r="DZ37">
        <v>0.84</v>
      </c>
      <c r="EB37">
        <v>1.33</v>
      </c>
      <c r="EC37">
        <v>0.67</v>
      </c>
      <c r="ED37">
        <f t="shared" si="52"/>
        <v>0.11239659753212525</v>
      </c>
      <c r="EE37">
        <f t="shared" si="53"/>
        <v>6.9210353433859867E-2</v>
      </c>
      <c r="EF37">
        <v>0.81100000000000005</v>
      </c>
    </row>
    <row r="38" spans="6:136" ht="49" customHeight="1" x14ac:dyDescent="0.2">
      <c r="F38">
        <v>4.8990999999999998</v>
      </c>
      <c r="G38">
        <v>0.88239999999999996</v>
      </c>
      <c r="H38">
        <f t="shared" si="0"/>
        <v>0.57613416000000017</v>
      </c>
      <c r="I38">
        <f t="shared" si="1"/>
        <v>4.3229658399999993</v>
      </c>
      <c r="J38">
        <f t="shared" si="2"/>
        <v>3.2572584821607041E-2</v>
      </c>
      <c r="K38">
        <f t="shared" si="3"/>
        <v>0.1548827845060359</v>
      </c>
      <c r="L38">
        <v>1.5516000000000001</v>
      </c>
      <c r="M38">
        <f t="shared" si="4"/>
        <v>0.76042594638516725</v>
      </c>
      <c r="AM38">
        <v>6.6</v>
      </c>
      <c r="AN38">
        <v>0.55000000000000004</v>
      </c>
      <c r="AO38">
        <f t="shared" si="17"/>
        <v>0.21862815482789347</v>
      </c>
      <c r="AP38">
        <f t="shared" si="18"/>
        <v>4.976029965998998E-2</v>
      </c>
      <c r="AQ38">
        <v>0.59899999999999998</v>
      </c>
      <c r="AS38">
        <v>1.85</v>
      </c>
      <c r="AT38">
        <v>0.15</v>
      </c>
      <c r="AU38">
        <f t="shared" si="19"/>
        <v>7.2725146738927354E-2</v>
      </c>
      <c r="AV38">
        <f t="shared" si="20"/>
        <v>1.6374415111636585E-2</v>
      </c>
      <c r="AW38">
        <v>0.91600000000000004</v>
      </c>
      <c r="BH38">
        <v>8.3513999999999999</v>
      </c>
      <c r="BI38">
        <v>0.74960000000000004</v>
      </c>
      <c r="BJ38">
        <f t="shared" si="24"/>
        <v>2.0911905599999998</v>
      </c>
      <c r="BK38">
        <f t="shared" si="25"/>
        <v>6.2602094400000006</v>
      </c>
      <c r="BL38">
        <f t="shared" si="26"/>
        <v>0.17360904189273904</v>
      </c>
      <c r="BM38">
        <f t="shared" si="27"/>
        <v>0.4339088733732307</v>
      </c>
      <c r="BN38">
        <v>1.3925000000000001</v>
      </c>
      <c r="BO38">
        <f t="shared" si="28"/>
        <v>0.65770468105203528</v>
      </c>
      <c r="BQ38">
        <v>0.8246</v>
      </c>
      <c r="BR38">
        <v>0.75619999999999998</v>
      </c>
      <c r="BS38">
        <f t="shared" si="29"/>
        <v>0.20103748000000002</v>
      </c>
      <c r="BT38">
        <f t="shared" si="30"/>
        <v>0.62356252000000001</v>
      </c>
      <c r="BU38">
        <f t="shared" si="31"/>
        <v>2.0940494300130837E-2</v>
      </c>
      <c r="BV38">
        <f t="shared" si="32"/>
        <v>7.0933308162220918E-2</v>
      </c>
      <c r="BW38">
        <v>0.94489999999999996</v>
      </c>
      <c r="BX38">
        <f t="shared" si="33"/>
        <v>0.97231744021697752</v>
      </c>
      <c r="DD38">
        <v>0.4</v>
      </c>
      <c r="DE38">
        <v>0.2</v>
      </c>
      <c r="DF38">
        <f t="shared" si="44"/>
        <v>1.6674834821038754E-2</v>
      </c>
      <c r="DG38">
        <f t="shared" si="45"/>
        <v>1.4690957818919903E-2</v>
      </c>
      <c r="DH38" s="2">
        <v>0.97899999999999998</v>
      </c>
      <c r="DJ38">
        <v>0.5</v>
      </c>
      <c r="DK38">
        <v>1</v>
      </c>
      <c r="DL38">
        <f t="shared" si="46"/>
        <v>2.0757013583079468E-2</v>
      </c>
      <c r="DM38">
        <f t="shared" si="47"/>
        <v>0.14409942141120888</v>
      </c>
      <c r="DN38">
        <v>0.95</v>
      </c>
      <c r="DP38">
        <v>1</v>
      </c>
      <c r="DQ38">
        <v>2</v>
      </c>
      <c r="DR38">
        <f t="shared" si="48"/>
        <v>5.5213332829447105E-2</v>
      </c>
      <c r="DS38">
        <f t="shared" si="49"/>
        <v>0.25190017355915972</v>
      </c>
      <c r="DT38" s="2">
        <v>0.90200000000000002</v>
      </c>
      <c r="EB38">
        <v>1.67</v>
      </c>
      <c r="EC38">
        <v>0.83</v>
      </c>
      <c r="ED38">
        <f t="shared" si="52"/>
        <v>0.13718775148280754</v>
      </c>
      <c r="EE38">
        <f t="shared" si="53"/>
        <v>8.4344171585111954E-2</v>
      </c>
      <c r="EF38">
        <v>0.75800000000000001</v>
      </c>
    </row>
    <row r="39" spans="6:136" ht="49" customHeight="1" x14ac:dyDescent="0.2">
      <c r="F39">
        <v>5.1018999999999997</v>
      </c>
      <c r="G39">
        <v>0.66879999999999995</v>
      </c>
      <c r="H39">
        <f t="shared" si="0"/>
        <v>1.6897492800000002</v>
      </c>
      <c r="I39">
        <f t="shared" si="1"/>
        <v>3.4121507199999996</v>
      </c>
      <c r="J39">
        <f t="shared" si="2"/>
        <v>8.9873986327677763E-2</v>
      </c>
      <c r="K39">
        <f t="shared" si="3"/>
        <v>0.12637410687826045</v>
      </c>
      <c r="L39">
        <v>1.4899</v>
      </c>
      <c r="M39">
        <f t="shared" si="4"/>
        <v>0.7604293094725868</v>
      </c>
      <c r="AM39">
        <v>9</v>
      </c>
      <c r="AN39">
        <v>0.75</v>
      </c>
      <c r="AO39">
        <f t="shared" si="17"/>
        <v>0.27617321464504258</v>
      </c>
      <c r="AP39">
        <f t="shared" si="18"/>
        <v>6.664896410868594E-2</v>
      </c>
      <c r="AQ39">
        <v>0.46100000000000002</v>
      </c>
      <c r="AS39">
        <v>2.31</v>
      </c>
      <c r="AT39">
        <v>0.19</v>
      </c>
      <c r="AU39">
        <f t="shared" si="19"/>
        <v>8.9195237868230859E-2</v>
      </c>
      <c r="AV39">
        <f t="shared" si="20"/>
        <v>2.0650754069538892E-2</v>
      </c>
      <c r="AW39">
        <v>0.88900000000000001</v>
      </c>
      <c r="BH39">
        <v>4.9770000000000003</v>
      </c>
      <c r="BI39">
        <v>0.24859999999999999</v>
      </c>
      <c r="BJ39">
        <f t="shared" si="24"/>
        <v>3.7397178000000006</v>
      </c>
      <c r="BK39">
        <f t="shared" si="25"/>
        <v>1.2372822000000001</v>
      </c>
      <c r="BL39">
        <f t="shared" si="26"/>
        <v>0.27309313166173965</v>
      </c>
      <c r="BM39">
        <f t="shared" si="27"/>
        <v>0.13156211509380261</v>
      </c>
      <c r="BN39">
        <v>1.6026</v>
      </c>
      <c r="BO39">
        <f t="shared" si="28"/>
        <v>0.75022906724482052</v>
      </c>
      <c r="DD39">
        <v>0.6</v>
      </c>
      <c r="DE39">
        <v>0.3</v>
      </c>
      <c r="DF39">
        <f t="shared" si="44"/>
        <v>2.4805438933121548E-2</v>
      </c>
      <c r="DG39">
        <f t="shared" si="45"/>
        <v>2.1875748876379764E-2</v>
      </c>
      <c r="DH39" s="2">
        <v>0.96899999999999997</v>
      </c>
      <c r="DJ39">
        <v>0.67</v>
      </c>
      <c r="DK39">
        <v>1.33</v>
      </c>
      <c r="DL39">
        <f t="shared" si="46"/>
        <v>2.7619476929678942E-2</v>
      </c>
      <c r="DM39">
        <f t="shared" si="47"/>
        <v>0.18295233311229472</v>
      </c>
      <c r="DN39">
        <v>0.93300000000000005</v>
      </c>
      <c r="DP39">
        <v>1.17</v>
      </c>
      <c r="DQ39">
        <v>2.33</v>
      </c>
      <c r="DR39">
        <f t="shared" si="48"/>
        <v>6.3998888779480761E-2</v>
      </c>
      <c r="DS39">
        <f t="shared" si="49"/>
        <v>0.28175305118486327</v>
      </c>
      <c r="DT39" s="2">
        <v>0.88700000000000001</v>
      </c>
      <c r="EB39">
        <v>2</v>
      </c>
      <c r="EC39">
        <v>1</v>
      </c>
      <c r="ED39">
        <f t="shared" si="52"/>
        <v>0.15996035012852605</v>
      </c>
      <c r="EE39">
        <f t="shared" si="53"/>
        <v>9.9893787466921097E-2</v>
      </c>
      <c r="EF39">
        <v>0.73599999999999999</v>
      </c>
    </row>
    <row r="40" spans="6:136" ht="49" customHeight="1" x14ac:dyDescent="0.2">
      <c r="F40">
        <v>5.5822000000000003</v>
      </c>
      <c r="G40">
        <v>0.26960000000000001</v>
      </c>
      <c r="H40">
        <f t="shared" si="0"/>
        <v>4.0772388799999995</v>
      </c>
      <c r="I40">
        <f t="shared" si="1"/>
        <v>1.5049611200000002</v>
      </c>
      <c r="J40">
        <f t="shared" si="2"/>
        <v>0.19242418956284751</v>
      </c>
      <c r="K40">
        <f t="shared" si="3"/>
        <v>5.9974847199894897E-2</v>
      </c>
      <c r="L40">
        <v>1.3615999999999999</v>
      </c>
      <c r="M40">
        <f t="shared" si="4"/>
        <v>0.76044567415316566</v>
      </c>
      <c r="AS40">
        <v>2.77</v>
      </c>
      <c r="AT40">
        <v>0.23</v>
      </c>
      <c r="AU40">
        <f t="shared" si="19"/>
        <v>0.10509046202013765</v>
      </c>
      <c r="AV40">
        <f t="shared" si="20"/>
        <v>2.4890070982152176E-2</v>
      </c>
      <c r="AW40">
        <v>0.86099999999999999</v>
      </c>
      <c r="BH40">
        <v>5.5206</v>
      </c>
      <c r="BI40">
        <v>0.50070000000000003</v>
      </c>
      <c r="BJ40">
        <f t="shared" si="24"/>
        <v>2.7564355799999998</v>
      </c>
      <c r="BK40">
        <f t="shared" si="25"/>
        <v>2.7641644200000002</v>
      </c>
      <c r="BL40">
        <f t="shared" si="26"/>
        <v>0.21686038099255017</v>
      </c>
      <c r="BM40">
        <f t="shared" si="27"/>
        <v>0.25286393592374412</v>
      </c>
      <c r="BN40">
        <v>1.4448000000000001</v>
      </c>
      <c r="BO40">
        <f t="shared" si="28"/>
        <v>0.75022845419534145</v>
      </c>
      <c r="DD40">
        <v>0.67</v>
      </c>
      <c r="DE40">
        <v>0.33</v>
      </c>
      <c r="DF40">
        <f t="shared" si="44"/>
        <v>2.7619476929678942E-2</v>
      </c>
      <c r="DG40">
        <f t="shared" si="45"/>
        <v>2.4010798344527115E-2</v>
      </c>
      <c r="DH40" s="2">
        <v>0.96499999999999997</v>
      </c>
      <c r="DJ40">
        <v>1</v>
      </c>
      <c r="DK40">
        <v>2</v>
      </c>
      <c r="DL40">
        <f t="shared" si="46"/>
        <v>4.0669842689040801E-2</v>
      </c>
      <c r="DM40">
        <f t="shared" si="47"/>
        <v>0.25190017355915972</v>
      </c>
      <c r="DN40">
        <v>0.89500000000000002</v>
      </c>
      <c r="DP40">
        <v>1.33</v>
      </c>
      <c r="DQ40">
        <v>2.67</v>
      </c>
      <c r="DR40">
        <f t="shared" si="48"/>
        <v>7.211968319939073E-2</v>
      </c>
      <c r="DS40">
        <f t="shared" si="49"/>
        <v>0.31011702346954295</v>
      </c>
      <c r="DT40" s="2">
        <v>0.86799999999999999</v>
      </c>
      <c r="EB40">
        <v>3</v>
      </c>
      <c r="EC40">
        <v>1.5</v>
      </c>
      <c r="ED40">
        <f t="shared" si="52"/>
        <v>0.22217123122515808</v>
      </c>
      <c r="EE40">
        <f t="shared" si="53"/>
        <v>0.14271262870026663</v>
      </c>
      <c r="EF40">
        <v>0.67800000000000005</v>
      </c>
    </row>
    <row r="41" spans="6:136" ht="49" customHeight="1" x14ac:dyDescent="0.2">
      <c r="F41">
        <v>5.8411999999999997</v>
      </c>
      <c r="G41">
        <v>9.1899999999999996E-2</v>
      </c>
      <c r="H41">
        <f t="shared" si="0"/>
        <v>5.3043937200000002</v>
      </c>
      <c r="I41">
        <f t="shared" si="1"/>
        <v>0.53680627999999997</v>
      </c>
      <c r="J41">
        <f t="shared" si="2"/>
        <v>0.23663467682565853</v>
      </c>
      <c r="K41">
        <f t="shared" si="3"/>
        <v>2.2250991489712661E-2</v>
      </c>
      <c r="L41">
        <v>1.3010999999999999</v>
      </c>
      <c r="M41">
        <f t="shared" si="4"/>
        <v>0.76046590000299408</v>
      </c>
      <c r="AS41">
        <v>3.69</v>
      </c>
      <c r="AT41">
        <v>0.31</v>
      </c>
      <c r="AU41">
        <f t="shared" si="19"/>
        <v>0.135272638938469</v>
      </c>
      <c r="AV41">
        <f t="shared" si="20"/>
        <v>3.3259545256890982E-2</v>
      </c>
      <c r="AW41">
        <v>0.79990000000000006</v>
      </c>
      <c r="BH41">
        <v>6.2561</v>
      </c>
      <c r="BI41">
        <v>0.74960000000000004</v>
      </c>
      <c r="BJ41">
        <f t="shared" si="24"/>
        <v>1.5665274399999998</v>
      </c>
      <c r="BK41">
        <f t="shared" si="25"/>
        <v>4.6895725600000002</v>
      </c>
      <c r="BL41">
        <f t="shared" si="26"/>
        <v>0.13597457301195651</v>
      </c>
      <c r="BM41">
        <f t="shared" si="27"/>
        <v>0.36475317662322182</v>
      </c>
      <c r="BN41">
        <v>1.2748999999999999</v>
      </c>
      <c r="BO41">
        <f t="shared" si="28"/>
        <v>0.75023550888980595</v>
      </c>
      <c r="DD41">
        <v>1</v>
      </c>
      <c r="DE41">
        <v>0.5</v>
      </c>
      <c r="DF41">
        <f t="shared" si="44"/>
        <v>4.0669842689040801E-2</v>
      </c>
      <c r="DG41">
        <f t="shared" si="45"/>
        <v>3.5935504085223301E-2</v>
      </c>
      <c r="DH41" s="2">
        <v>0.94699999999999995</v>
      </c>
      <c r="DJ41">
        <v>1.17</v>
      </c>
      <c r="DK41">
        <v>2.33</v>
      </c>
      <c r="DL41">
        <f t="shared" si="46"/>
        <v>4.7256987126669793E-2</v>
      </c>
      <c r="DM41">
        <f t="shared" si="47"/>
        <v>0.28175305118486327</v>
      </c>
      <c r="DN41">
        <v>0.876</v>
      </c>
      <c r="DP41">
        <v>1.5</v>
      </c>
      <c r="DQ41">
        <v>3</v>
      </c>
      <c r="DR41">
        <f t="shared" si="48"/>
        <v>8.0595038890829848E-2</v>
      </c>
      <c r="DS41">
        <f t="shared" si="49"/>
        <v>0.3355834905785739</v>
      </c>
      <c r="DT41" s="2">
        <v>0.85199999999999998</v>
      </c>
      <c r="EB41">
        <v>2.67</v>
      </c>
      <c r="EC41">
        <v>1.33</v>
      </c>
      <c r="ED41">
        <f t="shared" si="52"/>
        <v>0.20268580071912953</v>
      </c>
      <c r="EE41">
        <f t="shared" si="53"/>
        <v>0.12861882423840854</v>
      </c>
      <c r="EF41">
        <v>0.61099999999999999</v>
      </c>
    </row>
    <row r="42" spans="6:136" ht="49" customHeight="1" x14ac:dyDescent="0.2">
      <c r="AS42">
        <v>4.62</v>
      </c>
      <c r="AT42">
        <v>0.38</v>
      </c>
      <c r="AU42">
        <f t="shared" si="19"/>
        <v>0.16378190937155301</v>
      </c>
      <c r="AV42">
        <f t="shared" si="20"/>
        <v>4.046585766424058E-2</v>
      </c>
      <c r="AW42">
        <v>0.73699999999999999</v>
      </c>
      <c r="BH42">
        <v>3.7080000000000002</v>
      </c>
      <c r="BI42">
        <v>0.24859999999999999</v>
      </c>
      <c r="BJ42">
        <f t="shared" si="24"/>
        <v>2.7861912000000002</v>
      </c>
      <c r="BK42">
        <f t="shared" si="25"/>
        <v>0.92180879999999998</v>
      </c>
      <c r="BL42">
        <f t="shared" si="26"/>
        <v>0.2186894288686739</v>
      </c>
      <c r="BM42">
        <f t="shared" si="27"/>
        <v>0.10141943607074141</v>
      </c>
      <c r="BN42">
        <v>1.3989</v>
      </c>
      <c r="BO42">
        <f t="shared" si="28"/>
        <v>0.82953530150828514</v>
      </c>
      <c r="DD42">
        <v>1.33</v>
      </c>
      <c r="DE42">
        <v>0.67</v>
      </c>
      <c r="DF42">
        <f t="shared" si="44"/>
        <v>5.3374548395762368E-2</v>
      </c>
      <c r="DG42">
        <f t="shared" si="45"/>
        <v>4.7572333309681379E-2</v>
      </c>
      <c r="DH42" s="2">
        <v>0.92800000000000005</v>
      </c>
      <c r="DJ42">
        <v>1.33</v>
      </c>
      <c r="DK42">
        <v>2.67</v>
      </c>
      <c r="DL42">
        <f t="shared" si="46"/>
        <v>5.3374548395762368E-2</v>
      </c>
      <c r="DM42">
        <f t="shared" si="47"/>
        <v>0.31011702346954295</v>
      </c>
      <c r="DN42">
        <v>0.85599999999999998</v>
      </c>
      <c r="DP42">
        <v>1.67</v>
      </c>
      <c r="DQ42">
        <v>3.33</v>
      </c>
      <c r="DR42">
        <f t="shared" si="48"/>
        <v>8.8916966443354145E-2</v>
      </c>
      <c r="DS42">
        <f t="shared" si="49"/>
        <v>0.35923674331305872</v>
      </c>
      <c r="DT42" s="2">
        <v>0.83399999999999996</v>
      </c>
    </row>
    <row r="43" spans="6:136" ht="49" customHeight="1" x14ac:dyDescent="0.2">
      <c r="AS43">
        <v>5.54</v>
      </c>
      <c r="AT43">
        <v>0.46</v>
      </c>
      <c r="AU43">
        <f t="shared" si="19"/>
        <v>0.19019341064265313</v>
      </c>
      <c r="AV43">
        <f t="shared" si="20"/>
        <v>4.8571201315864093E-2</v>
      </c>
      <c r="AW43">
        <v>0.67390000000000005</v>
      </c>
      <c r="BH43">
        <v>4.0401999999999996</v>
      </c>
      <c r="BI43">
        <v>0.50070000000000003</v>
      </c>
      <c r="BJ43">
        <f t="shared" si="24"/>
        <v>2.0172718599999997</v>
      </c>
      <c r="BK43">
        <f t="shared" si="25"/>
        <v>2.0229281399999999</v>
      </c>
      <c r="BL43">
        <f t="shared" si="26"/>
        <v>0.16850643698474438</v>
      </c>
      <c r="BM43">
        <f t="shared" si="27"/>
        <v>0.19851714223676434</v>
      </c>
      <c r="BN43">
        <v>1.2836000000000001</v>
      </c>
      <c r="BO43">
        <f t="shared" si="28"/>
        <v>0.82956879084269597</v>
      </c>
      <c r="DD43">
        <v>1.67</v>
      </c>
      <c r="DE43">
        <v>0.83</v>
      </c>
      <c r="DF43">
        <f t="shared" si="44"/>
        <v>6.6117027975715822E-2</v>
      </c>
      <c r="DG43">
        <f t="shared" si="45"/>
        <v>5.8270900617915546E-2</v>
      </c>
      <c r="DH43" s="2">
        <v>0.90800000000000003</v>
      </c>
      <c r="DJ43">
        <v>1.5</v>
      </c>
      <c r="DK43">
        <v>3</v>
      </c>
      <c r="DL43">
        <f t="shared" si="46"/>
        <v>5.978896023001324E-2</v>
      </c>
      <c r="DM43">
        <f t="shared" si="47"/>
        <v>0.3355834905785739</v>
      </c>
      <c r="DN43">
        <v>0.83499999999999996</v>
      </c>
      <c r="DP43">
        <v>2</v>
      </c>
      <c r="DQ43">
        <v>4</v>
      </c>
      <c r="DR43">
        <f t="shared" si="48"/>
        <v>0.10464866413580688</v>
      </c>
      <c r="DS43">
        <f t="shared" si="49"/>
        <v>0.40242853045224208</v>
      </c>
      <c r="DT43" s="2">
        <v>0.79900000000000004</v>
      </c>
    </row>
    <row r="44" spans="6:136" ht="49" customHeight="1" x14ac:dyDescent="0.2">
      <c r="AS44">
        <v>7.39</v>
      </c>
      <c r="AT44">
        <v>0.61</v>
      </c>
      <c r="AU44">
        <f t="shared" si="19"/>
        <v>0.23855451880353826</v>
      </c>
      <c r="AV44">
        <f t="shared" si="20"/>
        <v>6.3405394297899653E-2</v>
      </c>
      <c r="AW44">
        <v>0.55889999999999995</v>
      </c>
      <c r="BH44">
        <v>4.4633000000000003</v>
      </c>
      <c r="BI44">
        <v>0.74960000000000004</v>
      </c>
      <c r="BJ44">
        <f t="shared" si="24"/>
        <v>1.1176103199999998</v>
      </c>
      <c r="BK44">
        <f t="shared" si="25"/>
        <v>3.3456896800000004</v>
      </c>
      <c r="BL44">
        <f t="shared" si="26"/>
        <v>0.10094187080303815</v>
      </c>
      <c r="BM44">
        <f t="shared" si="27"/>
        <v>0.29060216067754063</v>
      </c>
      <c r="BN44">
        <v>1.1618999999999999</v>
      </c>
      <c r="BO44">
        <f t="shared" si="28"/>
        <v>0.82957155408400185</v>
      </c>
      <c r="DD44">
        <v>2</v>
      </c>
      <c r="DE44">
        <v>1</v>
      </c>
      <c r="DF44">
        <f t="shared" si="44"/>
        <v>7.8160894110185578E-2</v>
      </c>
      <c r="DG44">
        <f t="shared" si="45"/>
        <v>6.93778791121865E-2</v>
      </c>
      <c r="DH44" s="2">
        <v>0.88400000000000001</v>
      </c>
      <c r="DJ44">
        <v>1.67</v>
      </c>
      <c r="DK44">
        <v>3.33</v>
      </c>
      <c r="DL44">
        <f t="shared" si="46"/>
        <v>6.6117027975715822E-2</v>
      </c>
      <c r="DM44">
        <f t="shared" si="47"/>
        <v>0.35923674331305872</v>
      </c>
      <c r="DN44">
        <v>0.81299999999999994</v>
      </c>
      <c r="DP44">
        <v>2.33</v>
      </c>
      <c r="DQ44">
        <v>2.67</v>
      </c>
      <c r="DR44">
        <f t="shared" si="48"/>
        <v>0.11984630404099687</v>
      </c>
      <c r="DS44">
        <f t="shared" si="49"/>
        <v>0.31011702346954295</v>
      </c>
      <c r="DT44" s="2">
        <v>0.76100000000000001</v>
      </c>
    </row>
    <row r="45" spans="6:136" ht="49" customHeight="1" x14ac:dyDescent="0.2">
      <c r="AS45">
        <v>9.23</v>
      </c>
      <c r="AT45">
        <v>0.77</v>
      </c>
      <c r="AU45">
        <f t="shared" si="19"/>
        <v>0.28124600777079445</v>
      </c>
      <c r="AV45">
        <f t="shared" si="20"/>
        <v>7.8727014469329254E-2</v>
      </c>
      <c r="AW45">
        <v>0.46200000000000002</v>
      </c>
      <c r="BH45">
        <v>2.7271999999999998</v>
      </c>
      <c r="BI45">
        <v>0.24859999999999999</v>
      </c>
      <c r="BJ45">
        <f t="shared" si="24"/>
        <v>2.0492180800000002</v>
      </c>
      <c r="BK45">
        <f t="shared" si="25"/>
        <v>0.6779819199999999</v>
      </c>
      <c r="BL45">
        <f t="shared" si="26"/>
        <v>0.17071939437650302</v>
      </c>
      <c r="BM45">
        <f t="shared" si="27"/>
        <v>7.6649287485407169E-2</v>
      </c>
      <c r="BN45">
        <v>1.248</v>
      </c>
      <c r="BO45">
        <f t="shared" si="28"/>
        <v>0.88459249581663935</v>
      </c>
      <c r="DD45">
        <v>2.33</v>
      </c>
      <c r="DE45">
        <v>1.17</v>
      </c>
      <c r="DF45">
        <f t="shared" si="44"/>
        <v>8.9898066945314409E-2</v>
      </c>
      <c r="DG45">
        <f t="shared" si="45"/>
        <v>8.02259149107796E-2</v>
      </c>
      <c r="DH45" s="2">
        <v>0.86399999999999999</v>
      </c>
      <c r="DJ45">
        <v>2</v>
      </c>
      <c r="DK45">
        <v>4</v>
      </c>
      <c r="DL45">
        <f t="shared" si="46"/>
        <v>7.8160894110185578E-2</v>
      </c>
      <c r="DM45">
        <f t="shared" si="47"/>
        <v>0.40242853045224208</v>
      </c>
      <c r="DN45">
        <v>0.76800000000000002</v>
      </c>
      <c r="DP45">
        <v>2.67</v>
      </c>
      <c r="DQ45">
        <v>5.33</v>
      </c>
      <c r="DR45">
        <f t="shared" si="48"/>
        <v>0.13497413745676168</v>
      </c>
      <c r="DS45">
        <f t="shared" si="49"/>
        <v>0.4729515577127531</v>
      </c>
      <c r="DT45" s="2">
        <v>0.72599999999999998</v>
      </c>
    </row>
    <row r="46" spans="6:136" ht="49" customHeight="1" x14ac:dyDescent="0.2">
      <c r="AS46">
        <v>11.08</v>
      </c>
      <c r="AT46">
        <v>0.92</v>
      </c>
      <c r="AU46">
        <f t="shared" si="19"/>
        <v>0.31960084628591062</v>
      </c>
      <c r="AV46">
        <f t="shared" si="20"/>
        <v>9.2642638391959506E-2</v>
      </c>
      <c r="AW46">
        <v>0.3861</v>
      </c>
      <c r="BH46">
        <v>2.9205999999999999</v>
      </c>
      <c r="BI46">
        <v>0.50070000000000003</v>
      </c>
      <c r="BJ46">
        <f t="shared" si="24"/>
        <v>1.4582555799999999</v>
      </c>
      <c r="BK46">
        <f t="shared" si="25"/>
        <v>1.46234442</v>
      </c>
      <c r="BL46">
        <f t="shared" si="26"/>
        <v>0.12777742803584904</v>
      </c>
      <c r="BM46">
        <f t="shared" si="27"/>
        <v>0.15185915286727025</v>
      </c>
      <c r="BN46">
        <v>1.1653</v>
      </c>
      <c r="BO46">
        <f t="shared" si="28"/>
        <v>0.88459792736828624</v>
      </c>
      <c r="DD46">
        <v>2.67</v>
      </c>
      <c r="DE46">
        <v>1.33</v>
      </c>
      <c r="DF46">
        <f t="shared" si="44"/>
        <v>0.10168235311936041</v>
      </c>
      <c r="DG46">
        <f t="shared" si="45"/>
        <v>9.0207309911327041E-2</v>
      </c>
      <c r="DH46" s="2">
        <v>0.83599999999999997</v>
      </c>
      <c r="DJ46">
        <v>2.33</v>
      </c>
      <c r="DK46">
        <v>2.67</v>
      </c>
      <c r="DL46">
        <f t="shared" si="46"/>
        <v>8.9898066945314409E-2</v>
      </c>
      <c r="DM46">
        <f t="shared" si="47"/>
        <v>0.31011702346954295</v>
      </c>
      <c r="DN46">
        <v>0.72499999999999998</v>
      </c>
    </row>
    <row r="47" spans="6:136" ht="49" customHeight="1" x14ac:dyDescent="0.2">
      <c r="AS47">
        <v>12.92</v>
      </c>
      <c r="AT47">
        <v>1.08</v>
      </c>
      <c r="AU47">
        <f t="shared" si="19"/>
        <v>0.35389267516396006</v>
      </c>
      <c r="AV47">
        <f t="shared" si="20"/>
        <v>0.1070299602163988</v>
      </c>
      <c r="AW47">
        <v>0.36499999999999999</v>
      </c>
      <c r="BH47">
        <v>3.1616</v>
      </c>
      <c r="BI47">
        <v>0.74960000000000004</v>
      </c>
      <c r="BJ47">
        <f t="shared" si="24"/>
        <v>0.79166463999999981</v>
      </c>
      <c r="BK47">
        <f t="shared" si="25"/>
        <v>2.3699353599999999</v>
      </c>
      <c r="BL47">
        <f t="shared" si="26"/>
        <v>7.3671489760292502E-2</v>
      </c>
      <c r="BM47">
        <f t="shared" si="27"/>
        <v>0.22491128043528955</v>
      </c>
      <c r="BN47">
        <v>1.0765</v>
      </c>
      <c r="BO47">
        <f t="shared" si="28"/>
        <v>0.88459514752645607</v>
      </c>
      <c r="DD47">
        <v>3</v>
      </c>
      <c r="DE47">
        <v>1.5</v>
      </c>
      <c r="DF47">
        <f t="shared" si="44"/>
        <v>0.11283182307737351</v>
      </c>
      <c r="DG47">
        <f t="shared" si="45"/>
        <v>0.10057787871292692</v>
      </c>
      <c r="DH47" s="2">
        <v>0.81</v>
      </c>
      <c r="DJ47">
        <v>2.67</v>
      </c>
      <c r="DK47">
        <v>5.33</v>
      </c>
      <c r="DL47">
        <f t="shared" si="46"/>
        <v>0.10168235311936041</v>
      </c>
      <c r="DM47">
        <f t="shared" si="47"/>
        <v>0.4729515577127531</v>
      </c>
      <c r="DN47">
        <v>0.68300000000000005</v>
      </c>
    </row>
    <row r="48" spans="6:136" ht="49" customHeight="1" x14ac:dyDescent="0.2">
      <c r="AS48">
        <v>14.77</v>
      </c>
      <c r="AT48">
        <v>1.23</v>
      </c>
      <c r="AU48">
        <f t="shared" si="19"/>
        <v>0.38505412673633505</v>
      </c>
      <c r="AV48">
        <f t="shared" si="20"/>
        <v>0.12010976806621422</v>
      </c>
      <c r="AW48">
        <v>0.30199999999999999</v>
      </c>
      <c r="DD48">
        <v>3.33</v>
      </c>
      <c r="DE48">
        <v>1.67</v>
      </c>
      <c r="DF48">
        <f t="shared" si="44"/>
        <v>0.12370792266708398</v>
      </c>
      <c r="DG48">
        <f t="shared" si="45"/>
        <v>0.11071468748068582</v>
      </c>
      <c r="DH48" s="2">
        <v>0.78400000000000003</v>
      </c>
      <c r="DJ48">
        <v>3</v>
      </c>
      <c r="DK48">
        <v>6</v>
      </c>
      <c r="DL48">
        <f t="shared" si="46"/>
        <v>0.11283182307737351</v>
      </c>
      <c r="DM48">
        <f t="shared" si="47"/>
        <v>0.50252716201695391</v>
      </c>
      <c r="DN48">
        <v>0.63900000000000001</v>
      </c>
    </row>
    <row r="49" spans="108:112" ht="49" customHeight="1" x14ac:dyDescent="0.2">
      <c r="DD49">
        <v>3.67</v>
      </c>
      <c r="DE49">
        <v>1.83</v>
      </c>
      <c r="DF49">
        <f t="shared" si="44"/>
        <v>0.13463816859391112</v>
      </c>
      <c r="DG49">
        <f t="shared" si="45"/>
        <v>0.12004867890708285</v>
      </c>
      <c r="DH49" s="2">
        <v>0.75800000000000001</v>
      </c>
    </row>
    <row r="50" spans="108:112" ht="49" customHeight="1" x14ac:dyDescent="0.2">
      <c r="DD50">
        <v>4</v>
      </c>
      <c r="DE50">
        <v>2</v>
      </c>
      <c r="DF50">
        <f t="shared" si="44"/>
        <v>0.14498929526597673</v>
      </c>
      <c r="DG50">
        <f t="shared" si="45"/>
        <v>0.12975372030284568</v>
      </c>
      <c r="DH50" s="2">
        <v>0.73099999999999998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Drysdale</dc:creator>
  <cp:lastModifiedBy>Clara Drysdale</cp:lastModifiedBy>
  <dcterms:created xsi:type="dcterms:W3CDTF">2026-02-22T20:34:02Z</dcterms:created>
  <dcterms:modified xsi:type="dcterms:W3CDTF">2026-02-23T02:50:16Z</dcterms:modified>
</cp:coreProperties>
</file>